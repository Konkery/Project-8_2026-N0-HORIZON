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60f393676dadff3/06__LLS_Horizon_2025/CONTRACT/2026/8_2026-N0-Горизонт/02__Спецификации/02__Спецификации/20__work_spec/"/>
    </mc:Choice>
  </mc:AlternateContent>
  <xr:revisionPtr revIDLastSave="2403" documentId="8_{E41F4DFA-A28F-42E7-9E8C-CAE5B7F57E4C}" xr6:coauthVersionLast="47" xr6:coauthVersionMax="47" xr10:uidLastSave="{1AD2A2AA-6A24-4900-ACC7-41ADA5297F95}"/>
  <bookViews>
    <workbookView xWindow="384" yWindow="348" windowWidth="38256" windowHeight="24384" tabRatio="633" activeTab="2" xr2:uid="{00000000-000D-0000-FFFF-FFFF00000000}"/>
  </bookViews>
  <sheets>
    <sheet name="SpecificationWork_1" sheetId="25" r:id="rId1"/>
    <sheet name="SpecificationWork_2" sheetId="29" r:id="rId2"/>
    <sheet name="SpecificationWork" sheetId="43" r:id="rId3"/>
    <sheet name="Pivot" sheetId="37" r:id="rId4"/>
    <sheet name="HandbookProject" sheetId="27" state="hidden" r:id="rId5"/>
    <sheet name="HandbookBrand" sheetId="22" state="hidden" r:id="rId6"/>
    <sheet name="HandbookSupplier" sheetId="23" state="hidden" r:id="rId7"/>
    <sheet name="HandbookUnit" sheetId="24" state="hidden" r:id="rId8"/>
    <sheet name="TableSchema" sheetId="18" r:id="rId9"/>
    <sheet name="ConfigJSON" sheetId="17" r:id="rId10"/>
  </sheets>
  <definedNames>
    <definedName name="_xlcn.WorksheetConnection_ШаблонспецификацияworkspecN2025.xlsxTabSpecificationWork_11" hidden="1">TabSpecificationWork_1[]</definedName>
    <definedName name="_xlcn.WorksheetConnection_ШаблонспецификацияworkspecN2025.xlsxTabSpecificationWork_21" hidden="1">TabSpecificationWork_2[]</definedName>
    <definedName name="_xlnm._FilterDatabase" localSheetId="1" hidden="1">SpecificationWork_2!$A$1:$D$45</definedName>
    <definedName name="ExternalData_1" localSheetId="5" hidden="1">HandbookBrand!$A$1:$B$88</definedName>
    <definedName name="ExternalData_1" localSheetId="4" hidden="1">HandbookProject!$A$1:$E$173</definedName>
    <definedName name="ExternalData_1" localSheetId="6" hidden="1">HandbookSupplier!$A$1:$B$48</definedName>
    <definedName name="ExternalData_1" localSheetId="7" hidden="1">HandbookUnit!$A$1:$B$5</definedName>
    <definedName name="ExternalData_1" localSheetId="2" hidden="1">SpecificationWork!$A$1:$AU$70</definedName>
  </definedNames>
  <calcPr calcId="191028" refMode="R1C1"/>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29" l="1"/>
  <c r="N51" i="29" s="1"/>
  <c r="H59" i="29"/>
  <c r="N59" i="29" s="1"/>
  <c r="H60" i="29"/>
  <c r="N60" i="29" s="1"/>
  <c r="H61" i="29"/>
  <c r="N61" i="29" s="1"/>
  <c r="H62" i="29"/>
  <c r="N62" i="29" s="1"/>
  <c r="H63" i="29"/>
  <c r="N63" i="29" s="1"/>
  <c r="H64" i="29"/>
  <c r="N64" i="29" s="1"/>
  <c r="H65" i="29"/>
  <c r="N65" i="29" s="1"/>
  <c r="H66" i="29"/>
  <c r="N66" i="29" s="1"/>
  <c r="H67" i="29"/>
  <c r="N67" i="29" s="1"/>
  <c r="H68" i="29"/>
  <c r="H69" i="29"/>
  <c r="H70" i="29"/>
  <c r="U59" i="25"/>
  <c r="Y59" i="25" s="1"/>
  <c r="U60" i="25"/>
  <c r="Y60" i="25" s="1"/>
  <c r="U61" i="25"/>
  <c r="Y61" i="25" s="1"/>
  <c r="U62" i="25"/>
  <c r="Y62" i="25" s="1"/>
  <c r="U63" i="25"/>
  <c r="U64" i="25"/>
  <c r="U65" i="25"/>
  <c r="U66" i="25"/>
  <c r="Y66" i="25" s="1"/>
  <c r="U67" i="25"/>
  <c r="U68" i="25"/>
  <c r="U69" i="25"/>
  <c r="Y69" i="25" s="1"/>
  <c r="U70" i="25"/>
  <c r="Y70" i="25" s="1"/>
  <c r="I59" i="25"/>
  <c r="K59" i="25" s="1"/>
  <c r="I60" i="25"/>
  <c r="K60" i="25" s="1"/>
  <c r="I61" i="25"/>
  <c r="K61" i="25" s="1"/>
  <c r="I62" i="25"/>
  <c r="K62" i="25" s="1"/>
  <c r="I63" i="25"/>
  <c r="K63" i="25" s="1"/>
  <c r="I64" i="25"/>
  <c r="K64" i="25" s="1"/>
  <c r="I65" i="25"/>
  <c r="K65" i="25" s="1"/>
  <c r="I66" i="25"/>
  <c r="K66" i="25" s="1"/>
  <c r="I67" i="25"/>
  <c r="K67" i="25" s="1"/>
  <c r="I68" i="25"/>
  <c r="K68" i="25" s="1"/>
  <c r="I69" i="25"/>
  <c r="K69" i="25" s="1"/>
  <c r="I70" i="25"/>
  <c r="K70" i="25" s="1"/>
  <c r="D59" i="25"/>
  <c r="D60" i="25"/>
  <c r="D61" i="25"/>
  <c r="D62" i="25"/>
  <c r="D63" i="25"/>
  <c r="D64" i="25"/>
  <c r="D65" i="25"/>
  <c r="D66" i="25"/>
  <c r="D67" i="25"/>
  <c r="D68" i="25"/>
  <c r="D69" i="25"/>
  <c r="D70" i="25"/>
  <c r="H58" i="29"/>
  <c r="N58" i="29" s="1"/>
  <c r="U58" i="25"/>
  <c r="Y58" i="25" s="1"/>
  <c r="Z58" i="25" s="1"/>
  <c r="I58" i="25"/>
  <c r="K58" i="25" s="1"/>
  <c r="D58" i="25"/>
  <c r="I2" i="25"/>
  <c r="I3" i="25"/>
  <c r="I4" i="25"/>
  <c r="I5" i="25"/>
  <c r="I6" i="25"/>
  <c r="I7" i="25"/>
  <c r="I8" i="25"/>
  <c r="I9" i="25"/>
  <c r="I10" i="25"/>
  <c r="I11" i="25"/>
  <c r="I12" i="25"/>
  <c r="I13" i="25"/>
  <c r="I14" i="25"/>
  <c r="I15" i="25"/>
  <c r="I16" i="25"/>
  <c r="I17" i="25"/>
  <c r="I18" i="25"/>
  <c r="I19" i="25"/>
  <c r="I20" i="25"/>
  <c r="I21" i="25"/>
  <c r="I22" i="25"/>
  <c r="I23" i="25"/>
  <c r="I24" i="25"/>
  <c r="I25" i="25"/>
  <c r="I26" i="25"/>
  <c r="I27" i="25"/>
  <c r="I28" i="25"/>
  <c r="I29" i="25"/>
  <c r="I30" i="25"/>
  <c r="I31" i="25"/>
  <c r="I32" i="25"/>
  <c r="I33" i="25"/>
  <c r="I34" i="25"/>
  <c r="I35" i="25"/>
  <c r="I36" i="25"/>
  <c r="I37" i="25"/>
  <c r="I38" i="25"/>
  <c r="I39" i="25"/>
  <c r="I40" i="25"/>
  <c r="I41" i="25"/>
  <c r="I42" i="25"/>
  <c r="I43" i="25"/>
  <c r="I44" i="25"/>
  <c r="I45" i="25"/>
  <c r="I46" i="25"/>
  <c r="I47" i="25"/>
  <c r="I48" i="25"/>
  <c r="I49" i="25"/>
  <c r="I50" i="25"/>
  <c r="I51" i="25"/>
  <c r="I52" i="25"/>
  <c r="I53" i="25"/>
  <c r="I54" i="25"/>
  <c r="I55" i="25"/>
  <c r="I56" i="25"/>
  <c r="I57" i="25"/>
  <c r="H52" i="29"/>
  <c r="N52" i="29" s="1"/>
  <c r="H53" i="29"/>
  <c r="N53" i="29" s="1"/>
  <c r="H54" i="29"/>
  <c r="N54" i="29" s="1"/>
  <c r="H55" i="29"/>
  <c r="N55" i="29" s="1"/>
  <c r="H56" i="29"/>
  <c r="H57" i="29"/>
  <c r="U56" i="25"/>
  <c r="Y56" i="25" s="1"/>
  <c r="U57" i="25"/>
  <c r="Y57" i="25" s="1"/>
  <c r="U52" i="25"/>
  <c r="U53" i="25"/>
  <c r="Z53" i="25" s="1"/>
  <c r="U54" i="25"/>
  <c r="Y54" i="25" s="1"/>
  <c r="U55" i="25"/>
  <c r="Y55" i="25" s="1"/>
  <c r="D57" i="25"/>
  <c r="D56" i="25"/>
  <c r="D55" i="25"/>
  <c r="D54" i="25"/>
  <c r="D53" i="25"/>
  <c r="D52" i="25"/>
  <c r="U51" i="25"/>
  <c r="Y51" i="25" s="1"/>
  <c r="D51" i="25"/>
  <c r="H50" i="29"/>
  <c r="G48" i="29"/>
  <c r="H48" i="29" s="1"/>
  <c r="G47" i="29"/>
  <c r="G46" i="29"/>
  <c r="H46" i="29" s="1"/>
  <c r="H47" i="29"/>
  <c r="H49" i="29"/>
  <c r="U50" i="25"/>
  <c r="D50" i="25"/>
  <c r="U49" i="25"/>
  <c r="D49" i="25"/>
  <c r="U48" i="25"/>
  <c r="D48" i="25"/>
  <c r="U47" i="25"/>
  <c r="Y47" i="25" s="1"/>
  <c r="D47" i="25"/>
  <c r="U46" i="25"/>
  <c r="D46" i="25"/>
  <c r="Z54" i="25" l="1"/>
  <c r="Z51" i="25"/>
  <c r="I70" i="29"/>
  <c r="K70" i="29" s="1"/>
  <c r="Q70" i="29" s="1"/>
  <c r="I64" i="29"/>
  <c r="K64" i="29" s="1"/>
  <c r="Q64" i="29" s="1"/>
  <c r="I67" i="29"/>
  <c r="K67" i="29" s="1"/>
  <c r="Q67" i="29" s="1"/>
  <c r="I69" i="29"/>
  <c r="K69" i="29" s="1"/>
  <c r="Q69" i="29" s="1"/>
  <c r="I66" i="29"/>
  <c r="K66" i="29" s="1"/>
  <c r="Q66" i="29" s="1"/>
  <c r="I65" i="29"/>
  <c r="K65" i="29" s="1"/>
  <c r="Q65" i="29" s="1"/>
  <c r="I68" i="29"/>
  <c r="K68" i="29" s="1"/>
  <c r="Q68" i="29" s="1"/>
  <c r="I63" i="29"/>
  <c r="K63" i="29" s="1"/>
  <c r="Q63" i="29" s="1"/>
  <c r="I62" i="29"/>
  <c r="K62" i="29" s="1"/>
  <c r="Q62" i="29" s="1"/>
  <c r="Z66" i="25"/>
  <c r="Z70" i="25"/>
  <c r="Z59" i="25"/>
  <c r="Z69" i="25"/>
  <c r="I61" i="29"/>
  <c r="Y68" i="25"/>
  <c r="Z68" i="25" s="1"/>
  <c r="I60" i="29"/>
  <c r="K60" i="29" s="1"/>
  <c r="N69" i="29"/>
  <c r="I59" i="29"/>
  <c r="K59" i="29" s="1"/>
  <c r="Q59" i="29" s="1"/>
  <c r="N70" i="29"/>
  <c r="N68" i="29"/>
  <c r="Z62" i="25"/>
  <c r="Y67" i="25"/>
  <c r="Z67" i="25" s="1"/>
  <c r="Z61" i="25"/>
  <c r="Z60" i="25"/>
  <c r="Y65" i="25"/>
  <c r="Z65" i="25" s="1"/>
  <c r="Y64" i="25"/>
  <c r="Z64" i="25" s="1"/>
  <c r="Y63" i="25"/>
  <c r="Z63" i="25" s="1"/>
  <c r="I58" i="29"/>
  <c r="I52" i="29"/>
  <c r="K52" i="29" s="1"/>
  <c r="Q52" i="29" s="1"/>
  <c r="I56" i="29"/>
  <c r="K56" i="29" s="1"/>
  <c r="Q56" i="29" s="1"/>
  <c r="Z52" i="25"/>
  <c r="N56" i="29"/>
  <c r="I55" i="29"/>
  <c r="K55" i="29" s="1"/>
  <c r="Q55" i="29" s="1"/>
  <c r="I54" i="29"/>
  <c r="K54" i="29" s="1"/>
  <c r="Q54" i="29" s="1"/>
  <c r="I53" i="29"/>
  <c r="K53" i="29" s="1"/>
  <c r="Q53" i="29" s="1"/>
  <c r="I51" i="29"/>
  <c r="K51" i="29" s="1"/>
  <c r="Q51" i="29" s="1"/>
  <c r="I57" i="29"/>
  <c r="K57" i="29" s="1"/>
  <c r="Q57" i="29" s="1"/>
  <c r="N57" i="29"/>
  <c r="Z57" i="25"/>
  <c r="Z56" i="25"/>
  <c r="Z55" i="25"/>
  <c r="I49" i="29"/>
  <c r="K49" i="29" s="1"/>
  <c r="Q49" i="29" s="1"/>
  <c r="I48" i="29"/>
  <c r="K48" i="29" s="1"/>
  <c r="Q48" i="29" s="1"/>
  <c r="I47" i="29"/>
  <c r="K47" i="29" s="1"/>
  <c r="Q47" i="29" s="1"/>
  <c r="I46" i="29"/>
  <c r="K46" i="29" s="1"/>
  <c r="Q46" i="29" s="1"/>
  <c r="I50" i="29"/>
  <c r="K50" i="29" s="1"/>
  <c r="Q50" i="29" s="1"/>
  <c r="N47" i="29"/>
  <c r="N50" i="29"/>
  <c r="N49" i="29"/>
  <c r="N48" i="29"/>
  <c r="N46" i="29"/>
  <c r="Z47" i="25"/>
  <c r="Y49" i="25"/>
  <c r="Z49" i="25" s="1"/>
  <c r="Y46" i="25"/>
  <c r="Z46" i="25" s="1"/>
  <c r="Y48" i="25"/>
  <c r="Z48" i="25" s="1"/>
  <c r="Y50" i="25"/>
  <c r="Z50" i="25" s="1"/>
  <c r="G41" i="29"/>
  <c r="H41" i="29" s="1"/>
  <c r="N41" i="29" s="1"/>
  <c r="G42" i="29"/>
  <c r="H42" i="29" s="1"/>
  <c r="N42" i="29" s="1"/>
  <c r="G43" i="29"/>
  <c r="H43" i="29" s="1"/>
  <c r="N43" i="29" s="1"/>
  <c r="H45" i="29"/>
  <c r="G36" i="29"/>
  <c r="H36" i="29" s="1"/>
  <c r="N36" i="29" s="1"/>
  <c r="G37" i="29"/>
  <c r="H37" i="29" s="1"/>
  <c r="N37" i="29" s="1"/>
  <c r="G38" i="29"/>
  <c r="H38" i="29" s="1"/>
  <c r="N38" i="29" s="1"/>
  <c r="H39" i="29"/>
  <c r="N39" i="29" s="1"/>
  <c r="H40" i="29"/>
  <c r="N40" i="29" s="1"/>
  <c r="G31" i="29"/>
  <c r="H31" i="29" s="1"/>
  <c r="N31" i="29" s="1"/>
  <c r="G32" i="29"/>
  <c r="H32" i="29" s="1"/>
  <c r="N32" i="29" s="1"/>
  <c r="G33" i="29"/>
  <c r="H33" i="29" s="1"/>
  <c r="H34" i="29"/>
  <c r="N34" i="29" s="1"/>
  <c r="H35" i="29"/>
  <c r="N35" i="29" s="1"/>
  <c r="H30" i="29"/>
  <c r="N30" i="29" s="1"/>
  <c r="H29" i="29"/>
  <c r="N29" i="29" s="1"/>
  <c r="G28" i="29"/>
  <c r="H28" i="29" s="1"/>
  <c r="N28" i="29" s="1"/>
  <c r="G27" i="29"/>
  <c r="H27" i="29" s="1"/>
  <c r="N27" i="29" s="1"/>
  <c r="G26" i="29"/>
  <c r="H26" i="29" s="1"/>
  <c r="N26" i="29" s="1"/>
  <c r="H25" i="29"/>
  <c r="N25" i="29" s="1"/>
  <c r="H24" i="29"/>
  <c r="N24" i="29" s="1"/>
  <c r="G23" i="29"/>
  <c r="H23" i="29" s="1"/>
  <c r="N23" i="29" s="1"/>
  <c r="G22" i="29"/>
  <c r="H22" i="29" s="1"/>
  <c r="N22" i="29" s="1"/>
  <c r="G21" i="29"/>
  <c r="H21" i="29" s="1"/>
  <c r="H44" i="29"/>
  <c r="N44" i="29" s="1"/>
  <c r="U25" i="25"/>
  <c r="D25" i="25"/>
  <c r="U24" i="25"/>
  <c r="D24" i="25"/>
  <c r="U23" i="25"/>
  <c r="D23" i="25"/>
  <c r="U22" i="25"/>
  <c r="D22" i="25"/>
  <c r="U21" i="25"/>
  <c r="D21" i="25"/>
  <c r="D26" i="25"/>
  <c r="D27" i="25"/>
  <c r="D28" i="25"/>
  <c r="D29" i="25"/>
  <c r="D30" i="25"/>
  <c r="D31" i="25"/>
  <c r="D32" i="25"/>
  <c r="D33" i="25"/>
  <c r="D34" i="25"/>
  <c r="D35" i="25"/>
  <c r="D36" i="25"/>
  <c r="D37" i="25"/>
  <c r="D38" i="25"/>
  <c r="D39" i="25"/>
  <c r="D40" i="25"/>
  <c r="D41" i="25"/>
  <c r="D42" i="25"/>
  <c r="D43" i="25"/>
  <c r="D44" i="25"/>
  <c r="D45" i="25"/>
  <c r="U26" i="25"/>
  <c r="Y26" i="25" s="1"/>
  <c r="Z26" i="25" s="1"/>
  <c r="U27" i="25"/>
  <c r="Y27" i="25" s="1"/>
  <c r="Z27" i="25" s="1"/>
  <c r="U28" i="25"/>
  <c r="Y28" i="25" s="1"/>
  <c r="U29" i="25"/>
  <c r="Y29" i="25" s="1"/>
  <c r="Z29" i="25" s="1"/>
  <c r="U30" i="25"/>
  <c r="Y30" i="25" s="1"/>
  <c r="Z30" i="25" s="1"/>
  <c r="U31" i="25"/>
  <c r="Y31" i="25" s="1"/>
  <c r="Z31" i="25" s="1"/>
  <c r="U32" i="25"/>
  <c r="Y32" i="25" s="1"/>
  <c r="Z32" i="25" s="1"/>
  <c r="U33" i="25"/>
  <c r="Y33" i="25" s="1"/>
  <c r="Z33" i="25" s="1"/>
  <c r="U34" i="25"/>
  <c r="Y34" i="25" s="1"/>
  <c r="U35" i="25"/>
  <c r="Y35" i="25" s="1"/>
  <c r="Z35" i="25" s="1"/>
  <c r="U36" i="25"/>
  <c r="Y36" i="25" s="1"/>
  <c r="Z36" i="25" s="1"/>
  <c r="U37" i="25"/>
  <c r="Y37" i="25" s="1"/>
  <c r="Z37" i="25" s="1"/>
  <c r="U38" i="25"/>
  <c r="Y38" i="25" s="1"/>
  <c r="Z38" i="25" s="1"/>
  <c r="U39" i="25"/>
  <c r="Y39" i="25" s="1"/>
  <c r="Z39" i="25" s="1"/>
  <c r="U40" i="25"/>
  <c r="Y40" i="25" s="1"/>
  <c r="Z40" i="25" s="1"/>
  <c r="U41" i="25"/>
  <c r="Y41" i="25" s="1"/>
  <c r="Z41" i="25" s="1"/>
  <c r="U42" i="25"/>
  <c r="Y42" i="25" s="1"/>
  <c r="Z42" i="25" s="1"/>
  <c r="U43" i="25"/>
  <c r="Y43" i="25" s="1"/>
  <c r="Z43" i="25" s="1"/>
  <c r="U44" i="25"/>
  <c r="Y44" i="25" s="1"/>
  <c r="Z44" i="25" s="1"/>
  <c r="U45" i="25"/>
  <c r="Y45" i="25" s="1"/>
  <c r="Z45" i="25" s="1"/>
  <c r="G11" i="29"/>
  <c r="H11" i="29" s="1"/>
  <c r="N11" i="29" s="1"/>
  <c r="H20" i="29"/>
  <c r="N20" i="29" s="1"/>
  <c r="H19" i="29"/>
  <c r="G18" i="29"/>
  <c r="H18" i="29" s="1"/>
  <c r="N18" i="29" s="1"/>
  <c r="G16" i="29"/>
  <c r="H16" i="29" s="1"/>
  <c r="G17" i="29"/>
  <c r="H17" i="29" s="1"/>
  <c r="G15" i="29"/>
  <c r="H15" i="29" s="1"/>
  <c r="G13" i="29"/>
  <c r="H13" i="29" s="1"/>
  <c r="N13" i="29" s="1"/>
  <c r="G12" i="29"/>
  <c r="H12" i="29" s="1"/>
  <c r="N12" i="29" s="1"/>
  <c r="U20" i="25"/>
  <c r="U19" i="25"/>
  <c r="U18" i="25"/>
  <c r="U17" i="25"/>
  <c r="U16" i="25"/>
  <c r="D20" i="25"/>
  <c r="D19" i="25"/>
  <c r="D18" i="25"/>
  <c r="D17" i="25"/>
  <c r="D16" i="25"/>
  <c r="H14" i="29"/>
  <c r="N14" i="29" s="1"/>
  <c r="D14" i="25"/>
  <c r="D15" i="25"/>
  <c r="U14" i="25"/>
  <c r="Y14" i="25" s="1"/>
  <c r="Z14" i="25" s="1"/>
  <c r="U15" i="25"/>
  <c r="Y15" i="25" s="1"/>
  <c r="Z15" i="25" s="1"/>
  <c r="D12" i="25"/>
  <c r="D13" i="25"/>
  <c r="U12" i="25"/>
  <c r="Y12" i="25" s="1"/>
  <c r="Z12" i="25" s="1"/>
  <c r="U13" i="25"/>
  <c r="Y13" i="25" s="1"/>
  <c r="K61" i="29" l="1"/>
  <c r="Q61" i="29" s="1"/>
  <c r="Q60" i="29"/>
  <c r="K58" i="29"/>
  <c r="Q58" i="29" s="1"/>
  <c r="I33" i="29"/>
  <c r="K33" i="29" s="1"/>
  <c r="I45" i="29"/>
  <c r="I25" i="29"/>
  <c r="K25" i="29" s="1"/>
  <c r="I39" i="29"/>
  <c r="K39" i="29" s="1"/>
  <c r="I24" i="29"/>
  <c r="K24" i="29" s="1"/>
  <c r="I23" i="29"/>
  <c r="K23" i="29" s="1"/>
  <c r="I22" i="29"/>
  <c r="K22" i="29" s="1"/>
  <c r="I21" i="29"/>
  <c r="K21" i="29" s="1"/>
  <c r="I41" i="29"/>
  <c r="K41" i="29" s="1"/>
  <c r="I34" i="29"/>
  <c r="K34" i="29" s="1"/>
  <c r="I28" i="29"/>
  <c r="K28" i="29" s="1"/>
  <c r="I32" i="29"/>
  <c r="K32" i="29" s="1"/>
  <c r="I44" i="29"/>
  <c r="K44" i="29" s="1"/>
  <c r="I31" i="29"/>
  <c r="K31" i="29" s="1"/>
  <c r="I43" i="29"/>
  <c r="K43" i="29" s="1"/>
  <c r="I30" i="29"/>
  <c r="K30" i="29" s="1"/>
  <c r="I42" i="29"/>
  <c r="K42" i="29" s="1"/>
  <c r="I29" i="29"/>
  <c r="K29" i="29" s="1"/>
  <c r="N45" i="29"/>
  <c r="N33" i="29"/>
  <c r="I40" i="29"/>
  <c r="K40" i="29" s="1"/>
  <c r="I27" i="29"/>
  <c r="K27" i="29" s="1"/>
  <c r="I26" i="29"/>
  <c r="K26" i="29" s="1"/>
  <c r="I38" i="29"/>
  <c r="K38" i="29" s="1"/>
  <c r="I37" i="29"/>
  <c r="K37" i="29" s="1"/>
  <c r="I36" i="29"/>
  <c r="K36" i="29" s="1"/>
  <c r="I35" i="29"/>
  <c r="K35" i="29" s="1"/>
  <c r="N21" i="29"/>
  <c r="Z28" i="25"/>
  <c r="Z34" i="25"/>
  <c r="Y24" i="25"/>
  <c r="Z24" i="25" s="1"/>
  <c r="Y22" i="25"/>
  <c r="Z22" i="25" s="1"/>
  <c r="Y21" i="25"/>
  <c r="Z21" i="25" s="1"/>
  <c r="Y23" i="25"/>
  <c r="Z23" i="25" s="1"/>
  <c r="Y25" i="25"/>
  <c r="Z25" i="25" s="1"/>
  <c r="Y20" i="25"/>
  <c r="Z20" i="25" s="1"/>
  <c r="Y19" i="25"/>
  <c r="Z19" i="25" s="1"/>
  <c r="Y18" i="25"/>
  <c r="Z18" i="25" s="1"/>
  <c r="Y17" i="25"/>
  <c r="Z17" i="25" s="1"/>
  <c r="Y16" i="25"/>
  <c r="Z16" i="25" s="1"/>
  <c r="I16" i="29"/>
  <c r="K16" i="29" s="1"/>
  <c r="I17" i="29"/>
  <c r="K17" i="29" s="1"/>
  <c r="I19" i="29"/>
  <c r="K19" i="29" s="1"/>
  <c r="I20" i="29"/>
  <c r="K20" i="29" s="1"/>
  <c r="N19" i="29"/>
  <c r="I18" i="29"/>
  <c r="K18" i="29" s="1"/>
  <c r="N17" i="29"/>
  <c r="N16" i="29"/>
  <c r="I15" i="29"/>
  <c r="I12" i="29"/>
  <c r="N15" i="29"/>
  <c r="I14" i="29"/>
  <c r="K14" i="29" s="1"/>
  <c r="I13" i="29"/>
  <c r="Z13" i="25"/>
  <c r="K15" i="29" l="1"/>
  <c r="Q15" i="29" s="1"/>
  <c r="K45" i="29"/>
  <c r="Q45" i="29" s="1"/>
  <c r="K13" i="29"/>
  <c r="Q13" i="29" s="1"/>
  <c r="K12" i="29"/>
  <c r="Q12" i="29" s="1"/>
  <c r="Q39" i="29"/>
  <c r="Q33" i="29"/>
  <c r="Q25" i="29"/>
  <c r="Q24" i="29"/>
  <c r="Q23" i="29"/>
  <c r="Q22" i="29"/>
  <c r="Q21" i="29"/>
  <c r="Q34" i="29"/>
  <c r="Q28" i="29"/>
  <c r="Q41" i="29"/>
  <c r="Q36" i="29"/>
  <c r="Q37" i="29"/>
  <c r="Q43" i="29"/>
  <c r="Q31" i="29"/>
  <c r="Q35" i="29"/>
  <c r="Q26" i="29"/>
  <c r="Q44" i="29"/>
  <c r="Q30" i="29"/>
  <c r="Q29" i="29"/>
  <c r="Q42" i="29"/>
  <c r="Q38" i="29"/>
  <c r="Q27" i="29"/>
  <c r="Q40" i="29"/>
  <c r="Q32" i="29"/>
  <c r="Q16" i="29"/>
  <c r="Q19" i="29"/>
  <c r="Q17" i="29"/>
  <c r="Q20" i="29"/>
  <c r="Q18" i="29"/>
  <c r="Q14" i="29"/>
  <c r="D11" i="25"/>
  <c r="U11" i="25"/>
  <c r="H7" i="29"/>
  <c r="H6" i="29"/>
  <c r="H2" i="29"/>
  <c r="Y11" i="25" l="1"/>
  <c r="Z11" i="25" s="1"/>
  <c r="I11" i="29"/>
  <c r="K11" i="29" s="1"/>
  <c r="H5" i="29"/>
  <c r="N5" i="29" s="1"/>
  <c r="N6" i="29"/>
  <c r="N7" i="29"/>
  <c r="H8" i="29"/>
  <c r="N8" i="29" s="1"/>
  <c r="H9" i="29"/>
  <c r="H10" i="29"/>
  <c r="N10" i="29" s="1"/>
  <c r="U7" i="25"/>
  <c r="U8" i="25"/>
  <c r="Y8" i="25" s="1"/>
  <c r="Z8" i="25" s="1"/>
  <c r="U9" i="25"/>
  <c r="Y9" i="25" s="1"/>
  <c r="Z9" i="25" s="1"/>
  <c r="U10" i="25"/>
  <c r="Y10" i="25" s="1"/>
  <c r="Z10" i="25" s="1"/>
  <c r="D7" i="25"/>
  <c r="D8" i="25"/>
  <c r="D9" i="25"/>
  <c r="D10" i="25"/>
  <c r="U6" i="25"/>
  <c r="Y6" i="25" s="1"/>
  <c r="Z6" i="25" s="1"/>
  <c r="D3" i="25"/>
  <c r="D4" i="25"/>
  <c r="D5" i="25"/>
  <c r="D6" i="25"/>
  <c r="U5" i="25"/>
  <c r="U4" i="25"/>
  <c r="U2" i="25"/>
  <c r="Y2" i="25" s="1"/>
  <c r="U3" i="25"/>
  <c r="Y3" i="25" s="1"/>
  <c r="D2" i="25"/>
  <c r="Y7" i="25" l="1"/>
  <c r="Z7" i="25" s="1"/>
  <c r="Q11" i="29"/>
  <c r="I8" i="29"/>
  <c r="K8" i="29" s="1"/>
  <c r="I7" i="29"/>
  <c r="K7" i="29" s="1"/>
  <c r="I6" i="29"/>
  <c r="K6" i="29" s="1"/>
  <c r="I5" i="29"/>
  <c r="K5" i="29" s="1"/>
  <c r="I9" i="29"/>
  <c r="K9" i="29" s="1"/>
  <c r="N9" i="29"/>
  <c r="I10" i="29"/>
  <c r="K10" i="29" s="1"/>
  <c r="Y5" i="25"/>
  <c r="Z5" i="25" s="1"/>
  <c r="Y4" i="25"/>
  <c r="Z4" i="25" s="1"/>
  <c r="Z2" i="25"/>
  <c r="Z3" i="25"/>
  <c r="H3" i="29"/>
  <c r="N3" i="29" s="1"/>
  <c r="H4" i="29"/>
  <c r="N4" i="29" s="1"/>
  <c r="N2" i="29"/>
  <c r="Q9" i="29" l="1"/>
  <c r="Q8" i="29"/>
  <c r="Q7" i="29"/>
  <c r="Q6" i="29"/>
  <c r="Q5" i="29"/>
  <c r="Q10" i="29"/>
  <c r="I4" i="29"/>
  <c r="K4" i="29" s="1"/>
  <c r="I3" i="29"/>
  <c r="K3" i="29" s="1"/>
  <c r="I2" i="29"/>
  <c r="K2" i="29" l="1"/>
  <c r="Q2" i="29" s="1"/>
  <c r="Q3" i="29"/>
  <c r="Q4" i="29"/>
  <c r="K54" i="25"/>
  <c r="K22" i="25"/>
  <c r="K14" i="25"/>
  <c r="K10" i="25"/>
  <c r="K35" i="25"/>
  <c r="K39" i="25"/>
  <c r="K52" i="25"/>
  <c r="K53" i="25"/>
  <c r="K57" i="25"/>
  <c r="K55" i="25"/>
  <c r="K25" i="25"/>
  <c r="K56" i="25"/>
  <c r="K38" i="25"/>
  <c r="K9" i="25"/>
  <c r="K34" i="25"/>
  <c r="K47" i="25"/>
  <c r="K41" i="25"/>
  <c r="K26" i="25"/>
  <c r="K46" i="25"/>
  <c r="K21" i="25"/>
  <c r="K23" i="25"/>
  <c r="K4" i="25"/>
  <c r="K5" i="25"/>
  <c r="K18" i="25"/>
  <c r="K7" i="25"/>
  <c r="K20" i="25"/>
  <c r="K48" i="25"/>
  <c r="K27" i="25"/>
  <c r="K51" i="25"/>
  <c r="K8" i="25"/>
  <c r="K33" i="25"/>
  <c r="K24" i="25"/>
  <c r="K43" i="25"/>
  <c r="K50" i="25"/>
  <c r="K49" i="25"/>
  <c r="K12" i="25"/>
  <c r="K16" i="25"/>
  <c r="K30" i="25"/>
  <c r="K32" i="25"/>
  <c r="K40" i="25"/>
  <c r="K13" i="25"/>
  <c r="K6" i="25"/>
  <c r="K37" i="25"/>
  <c r="K3" i="25"/>
  <c r="K17" i="25"/>
  <c r="K19" i="25"/>
  <c r="K2" i="25"/>
  <c r="K15" i="25"/>
  <c r="K28" i="25"/>
  <c r="K29" i="25"/>
  <c r="K42" i="25"/>
  <c r="K31" i="25"/>
  <c r="K44" i="25"/>
  <c r="K45" i="25"/>
  <c r="K11" i="25"/>
  <c r="K36" i="25"/>
  <c r="A2" i="29" l="1" a="1"/>
  <c r="F59" i="29" l="1"/>
  <c r="M59" i="29" s="1"/>
  <c r="F60" i="29"/>
  <c r="M60" i="29" s="1"/>
  <c r="F61" i="29"/>
  <c r="M61" i="29" s="1"/>
  <c r="F68" i="29"/>
  <c r="M68" i="29" s="1"/>
  <c r="F62" i="29"/>
  <c r="M62" i="29" s="1"/>
  <c r="F63" i="29"/>
  <c r="M63" i="29" s="1"/>
  <c r="F64" i="29"/>
  <c r="M64" i="29" s="1"/>
  <c r="F70" i="29"/>
  <c r="M70" i="29" s="1"/>
  <c r="F65" i="29"/>
  <c r="M65" i="29" s="1"/>
  <c r="F66" i="29"/>
  <c r="M66" i="29" s="1"/>
  <c r="F67" i="29"/>
  <c r="M67" i="29" s="1"/>
  <c r="F69" i="29"/>
  <c r="M69" i="29" s="1"/>
  <c r="F23" i="29"/>
  <c r="M23" i="29" s="1"/>
  <c r="R23" i="29" s="1"/>
  <c r="S23" i="29" s="1"/>
  <c r="F58" i="29"/>
  <c r="M58" i="29" s="1"/>
  <c r="F36" i="29"/>
  <c r="M36" i="29" s="1"/>
  <c r="R36" i="29" s="1"/>
  <c r="S36" i="29" s="1"/>
  <c r="F15" i="29"/>
  <c r="M15" i="29" s="1"/>
  <c r="R15" i="29" s="1"/>
  <c r="S15" i="29" s="1"/>
  <c r="F8" i="29"/>
  <c r="M8" i="29" s="1"/>
  <c r="O8" i="29" s="1"/>
  <c r="P8" i="29" s="1"/>
  <c r="F33" i="29"/>
  <c r="M33" i="29" s="1"/>
  <c r="R33" i="29" s="1"/>
  <c r="S33" i="29" s="1"/>
  <c r="F13" i="29"/>
  <c r="M13" i="29" s="1"/>
  <c r="O13" i="29" s="1"/>
  <c r="P13" i="29" s="1"/>
  <c r="F5" i="29"/>
  <c r="M5" i="29" s="1"/>
  <c r="O5" i="29" s="1"/>
  <c r="P5" i="29" s="1"/>
  <c r="F3" i="29"/>
  <c r="M3" i="29" s="1"/>
  <c r="O3" i="29" s="1"/>
  <c r="P3" i="29" s="1"/>
  <c r="F35" i="29"/>
  <c r="M35" i="29" s="1"/>
  <c r="O35" i="29" s="1"/>
  <c r="P35" i="29" s="1"/>
  <c r="F45" i="29"/>
  <c r="M45" i="29" s="1"/>
  <c r="O45" i="29" s="1"/>
  <c r="P45" i="29" s="1"/>
  <c r="F7" i="29"/>
  <c r="M7" i="29" s="1"/>
  <c r="O7" i="29" s="1"/>
  <c r="P7" i="29" s="1"/>
  <c r="F39" i="29"/>
  <c r="M39" i="29" s="1"/>
  <c r="R39" i="29" s="1"/>
  <c r="S39" i="29" s="1"/>
  <c r="F2" i="29"/>
  <c r="M2" i="29" s="1"/>
  <c r="R2" i="29" s="1"/>
  <c r="S2" i="29" s="1"/>
  <c r="F34" i="29"/>
  <c r="M34" i="29" s="1"/>
  <c r="R34" i="29" s="1"/>
  <c r="S34" i="29" s="1"/>
  <c r="F40" i="29"/>
  <c r="M40" i="29" s="1"/>
  <c r="R40" i="29" s="1"/>
  <c r="S40" i="29" s="1"/>
  <c r="F32" i="29"/>
  <c r="M32" i="29" s="1"/>
  <c r="O32" i="29" s="1"/>
  <c r="P32" i="29" s="1"/>
  <c r="F24" i="29"/>
  <c r="M24" i="29" s="1"/>
  <c r="R24" i="29" s="1"/>
  <c r="S24" i="29" s="1"/>
  <c r="F54" i="29"/>
  <c r="M54" i="29" s="1"/>
  <c r="O54" i="29" s="1"/>
  <c r="P54" i="29" s="1"/>
  <c r="F47" i="29"/>
  <c r="M47" i="29" s="1"/>
  <c r="O47" i="29" s="1"/>
  <c r="P47" i="29" s="1"/>
  <c r="F27" i="29"/>
  <c r="M27" i="29" s="1"/>
  <c r="R27" i="29" s="1"/>
  <c r="S27" i="29" s="1"/>
  <c r="F21" i="29"/>
  <c r="M21" i="29" s="1"/>
  <c r="R21" i="29" s="1"/>
  <c r="S21" i="29" s="1"/>
  <c r="F10" i="29"/>
  <c r="M10" i="29" s="1"/>
  <c r="R10" i="29" s="1"/>
  <c r="S10" i="29" s="1"/>
  <c r="F4" i="29"/>
  <c r="M4" i="29" s="1"/>
  <c r="R4" i="29" s="1"/>
  <c r="S4" i="29" s="1"/>
  <c r="F48" i="29"/>
  <c r="M48" i="29" s="1"/>
  <c r="O48" i="29" s="1"/>
  <c r="P48" i="29" s="1"/>
  <c r="F44" i="29"/>
  <c r="M44" i="29" s="1"/>
  <c r="R44" i="29" s="1"/>
  <c r="S44" i="29" s="1"/>
  <c r="F49" i="29"/>
  <c r="M49" i="29" s="1"/>
  <c r="O49" i="29" s="1"/>
  <c r="P49" i="29" s="1"/>
  <c r="F28" i="29"/>
  <c r="M28" i="29" s="1"/>
  <c r="R28" i="29" s="1"/>
  <c r="S28" i="29" s="1"/>
  <c r="F18" i="29"/>
  <c r="M18" i="29" s="1"/>
  <c r="O18" i="29" s="1"/>
  <c r="P18" i="29" s="1"/>
  <c r="F25" i="29"/>
  <c r="M25" i="29" s="1"/>
  <c r="R25" i="29" s="1"/>
  <c r="S25" i="29" s="1"/>
  <c r="F57" i="29"/>
  <c r="M57" i="29" s="1"/>
  <c r="R57" i="29" s="1"/>
  <c r="S57" i="29" s="1"/>
  <c r="F41" i="29"/>
  <c r="M41" i="29" s="1"/>
  <c r="O41" i="29" s="1"/>
  <c r="P41" i="29" s="1"/>
  <c r="F52" i="29"/>
  <c r="M52" i="29" s="1"/>
  <c r="R52" i="29" s="1"/>
  <c r="S52" i="29" s="1"/>
  <c r="F37" i="29"/>
  <c r="M37" i="29" s="1"/>
  <c r="R37" i="29" s="1"/>
  <c r="S37" i="29" s="1"/>
  <c r="F31" i="29"/>
  <c r="M31" i="29" s="1"/>
  <c r="O31" i="29" s="1"/>
  <c r="P31" i="29" s="1"/>
  <c r="F43" i="29"/>
  <c r="M43" i="29" s="1"/>
  <c r="O43" i="29" s="1"/>
  <c r="P43" i="29" s="1"/>
  <c r="F9" i="29"/>
  <c r="M9" i="29" s="1"/>
  <c r="R9" i="29" s="1"/>
  <c r="S9" i="29" s="1"/>
  <c r="F14" i="29"/>
  <c r="M14" i="29" s="1"/>
  <c r="R14" i="29" s="1"/>
  <c r="S14" i="29" s="1"/>
  <c r="F56" i="29"/>
  <c r="M56" i="29" s="1"/>
  <c r="O56" i="29" s="1"/>
  <c r="P56" i="29" s="1"/>
  <c r="F16" i="29"/>
  <c r="M16" i="29" s="1"/>
  <c r="R16" i="29" s="1"/>
  <c r="S16" i="29" s="1"/>
  <c r="F6" i="29"/>
  <c r="M6" i="29" s="1"/>
  <c r="R6" i="29" s="1"/>
  <c r="S6" i="29" s="1"/>
  <c r="F42" i="29"/>
  <c r="M42" i="29" s="1"/>
  <c r="O42" i="29" s="1"/>
  <c r="P42" i="29" s="1"/>
  <c r="F50" i="29"/>
  <c r="M50" i="29" s="1"/>
  <c r="R50" i="29" s="1"/>
  <c r="S50" i="29" s="1"/>
  <c r="F51" i="29"/>
  <c r="M51" i="29" s="1"/>
  <c r="R51" i="29" s="1"/>
  <c r="S51" i="29" s="1"/>
  <c r="A2" i="29"/>
  <c r="F20" i="29"/>
  <c r="M20" i="29" s="1"/>
  <c r="R20" i="29" s="1"/>
  <c r="S20" i="29" s="1"/>
  <c r="F46" i="29"/>
  <c r="M46" i="29" s="1"/>
  <c r="R46" i="29" s="1"/>
  <c r="S46" i="29" s="1"/>
  <c r="F12" i="29"/>
  <c r="M12" i="29" s="1"/>
  <c r="R12" i="29" s="1"/>
  <c r="S12" i="29" s="1"/>
  <c r="F17" i="29"/>
  <c r="M17" i="29" s="1"/>
  <c r="O17" i="29" s="1"/>
  <c r="P17" i="29" s="1"/>
  <c r="F11" i="29"/>
  <c r="M11" i="29" s="1"/>
  <c r="O11" i="29" s="1"/>
  <c r="P11" i="29" s="1"/>
  <c r="F53" i="29"/>
  <c r="M53" i="29" s="1"/>
  <c r="O53" i="29" s="1"/>
  <c r="P53" i="29" s="1"/>
  <c r="F38" i="29"/>
  <c r="M38" i="29" s="1"/>
  <c r="O38" i="29" s="1"/>
  <c r="P38" i="29" s="1"/>
  <c r="F22" i="29"/>
  <c r="M22" i="29" s="1"/>
  <c r="O22" i="29" s="1"/>
  <c r="P22" i="29" s="1"/>
  <c r="F19" i="29"/>
  <c r="M19" i="29" s="1"/>
  <c r="R19" i="29" s="1"/>
  <c r="S19" i="29" s="1"/>
  <c r="F55" i="29"/>
  <c r="M55" i="29" s="1"/>
  <c r="R55" i="29" s="1"/>
  <c r="S55" i="29" s="1"/>
  <c r="F26" i="29"/>
  <c r="M26" i="29" s="1"/>
  <c r="R26" i="29" s="1"/>
  <c r="S26" i="29" s="1"/>
  <c r="F29" i="29"/>
  <c r="M29" i="29" s="1"/>
  <c r="R29" i="29" s="1"/>
  <c r="S29" i="29" s="1"/>
  <c r="F30" i="29"/>
  <c r="M30" i="29" s="1"/>
  <c r="R30" i="29" s="1"/>
  <c r="S30" i="29" s="1"/>
  <c r="O23" i="29" l="1"/>
  <c r="P23" i="29" s="1"/>
  <c r="O63" i="29"/>
  <c r="P63" i="29" s="1"/>
  <c r="R63" i="29"/>
  <c r="S63" i="29" s="1"/>
  <c r="O62" i="29"/>
  <c r="P62" i="29" s="1"/>
  <c r="R62" i="29"/>
  <c r="S62" i="29" s="1"/>
  <c r="O68" i="29"/>
  <c r="P68" i="29" s="1"/>
  <c r="R68" i="29"/>
  <c r="S68" i="29" s="1"/>
  <c r="O69" i="29"/>
  <c r="P69" i="29" s="1"/>
  <c r="R69" i="29"/>
  <c r="S69" i="29" s="1"/>
  <c r="R67" i="29"/>
  <c r="S67" i="29" s="1"/>
  <c r="O67" i="29"/>
  <c r="P67" i="29" s="1"/>
  <c r="O61" i="29"/>
  <c r="P61" i="29" s="1"/>
  <c r="R61" i="29"/>
  <c r="S61" i="29" s="1"/>
  <c r="R66" i="29"/>
  <c r="S66" i="29" s="1"/>
  <c r="O66" i="29"/>
  <c r="P66" i="29" s="1"/>
  <c r="O65" i="29"/>
  <c r="P65" i="29" s="1"/>
  <c r="R65" i="29"/>
  <c r="S65" i="29" s="1"/>
  <c r="O60" i="29"/>
  <c r="P60" i="29" s="1"/>
  <c r="R60" i="29"/>
  <c r="S60" i="29" s="1"/>
  <c r="R70" i="29"/>
  <c r="S70" i="29" s="1"/>
  <c r="O70" i="29"/>
  <c r="P70" i="29" s="1"/>
  <c r="O64" i="29"/>
  <c r="P64" i="29" s="1"/>
  <c r="R64" i="29"/>
  <c r="S64" i="29" s="1"/>
  <c r="O59" i="29"/>
  <c r="P59" i="29" s="1"/>
  <c r="R59" i="29"/>
  <c r="S59" i="29" s="1"/>
  <c r="O24" i="29"/>
  <c r="P24" i="29" s="1"/>
  <c r="R8" i="29"/>
  <c r="S8" i="29" s="1"/>
  <c r="R5" i="29"/>
  <c r="S5" i="29" s="1"/>
  <c r="O40" i="29"/>
  <c r="P40" i="29" s="1"/>
  <c r="O15" i="29"/>
  <c r="P15" i="29" s="1"/>
  <c r="R13" i="29"/>
  <c r="S13" i="29" s="1"/>
  <c r="O58" i="29"/>
  <c r="P58" i="29" s="1"/>
  <c r="R58" i="29"/>
  <c r="S58" i="29" s="1"/>
  <c r="O33" i="29"/>
  <c r="P33" i="29" s="1"/>
  <c r="R18" i="29"/>
  <c r="S18" i="29" s="1"/>
  <c r="R47" i="29"/>
  <c r="S47" i="29" s="1"/>
  <c r="O25" i="29"/>
  <c r="P25" i="29" s="1"/>
  <c r="R32" i="29"/>
  <c r="S32" i="29" s="1"/>
  <c r="R22" i="29"/>
  <c r="S22" i="29" s="1"/>
  <c r="O6" i="29"/>
  <c r="P6" i="29" s="1"/>
  <c r="R35" i="29"/>
  <c r="S35" i="29" s="1"/>
  <c r="O27" i="29"/>
  <c r="P27" i="29" s="1"/>
  <c r="R3" i="29"/>
  <c r="S3" i="29" s="1"/>
  <c r="R54" i="29"/>
  <c r="S54" i="29" s="1"/>
  <c r="O16" i="29"/>
  <c r="P16" i="29" s="1"/>
  <c r="O19" i="29"/>
  <c r="P19" i="29" s="1"/>
  <c r="O28" i="29"/>
  <c r="P28" i="29" s="1"/>
  <c r="O36" i="29"/>
  <c r="P36" i="29" s="1"/>
  <c r="O34" i="29"/>
  <c r="P34" i="29" s="1"/>
  <c r="R31" i="29"/>
  <c r="S31" i="29" s="1"/>
  <c r="R38" i="29"/>
  <c r="S38" i="29" s="1"/>
  <c r="O52" i="29"/>
  <c r="P52" i="29" s="1"/>
  <c r="O21" i="29"/>
  <c r="P21" i="29" s="1"/>
  <c r="O10" i="29"/>
  <c r="P10" i="29" s="1"/>
  <c r="R45" i="29"/>
  <c r="S45" i="29" s="1"/>
  <c r="O30" i="29"/>
  <c r="P30" i="29" s="1"/>
  <c r="O29" i="29"/>
  <c r="P29" i="29" s="1"/>
  <c r="R41" i="29"/>
  <c r="S41" i="29" s="1"/>
  <c r="O2" i="29"/>
  <c r="P2" i="29" s="1"/>
  <c r="R49" i="29"/>
  <c r="S49" i="29" s="1"/>
  <c r="O39" i="29"/>
  <c r="P39" i="29" s="1"/>
  <c r="O20" i="29"/>
  <c r="P20" i="29" s="1"/>
  <c r="O46" i="29"/>
  <c r="P46" i="29" s="1"/>
  <c r="O57" i="29"/>
  <c r="P57" i="29" s="1"/>
  <c r="O9" i="29"/>
  <c r="P9" i="29" s="1"/>
  <c r="R42" i="29"/>
  <c r="S42" i="29" s="1"/>
  <c r="R48" i="29"/>
  <c r="S48" i="29" s="1"/>
  <c r="O14" i="29"/>
  <c r="P14" i="29" s="1"/>
  <c r="R11" i="29"/>
  <c r="S11" i="29" s="1"/>
  <c r="R17" i="29"/>
  <c r="S17" i="29" s="1"/>
  <c r="O44" i="29"/>
  <c r="P44" i="29" s="1"/>
  <c r="O51" i="29"/>
  <c r="P51" i="29" s="1"/>
  <c r="O37" i="29"/>
  <c r="P37" i="29" s="1"/>
  <c r="O4" i="29"/>
  <c r="P4" i="29" s="1"/>
  <c r="R43" i="29"/>
  <c r="S43" i="29" s="1"/>
  <c r="O50" i="29"/>
  <c r="P50" i="29" s="1"/>
  <c r="R7" i="29"/>
  <c r="S7" i="29" s="1"/>
  <c r="R56" i="29"/>
  <c r="S56" i="29" s="1"/>
  <c r="O12" i="29"/>
  <c r="P12" i="29" s="1"/>
  <c r="O26" i="29"/>
  <c r="P26" i="29" s="1"/>
  <c r="O55" i="29"/>
  <c r="P55" i="29" s="1"/>
  <c r="R53" i="29"/>
  <c r="S53"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tc={F6344F8B-2B3A-40F5-94E4-16B7A498AB48}</author>
    <author>tc={E3D9B2AC-BF73-467B-B4DB-9A01321331B9}</author>
    <author>tc={8F981E2E-A069-4F7D-B569-584150EAACC6}</author>
    <author>tc={7960CCAA-C85E-4532-A46A-96785E4D240A}</author>
    <author>tc={FE809EA2-7E50-4AEF-ADD4-15BD881CFCA5}</author>
    <author>tc={FE5A4F88-C626-4813-B9F6-AC623AC19292}</author>
    <author>tc={5D52B54C-0708-4CA1-A0BC-47334CF09CE6}</author>
    <author>tc={70842CBF-5120-4049-9941-DC7047DC8A17}</author>
    <author>tc={F4A88E00-01BF-4A9D-BB00-CA966B2636D4}</author>
    <author>tc={890F2321-773B-4860-984E-8BC625841E0A}</author>
    <author>tc={2C22FD44-0F6F-4613-A453-FA7B515CF251}</author>
    <author>tc={BE27801C-0731-473F-8682-66560F0BB1E4}</author>
    <author>tc={BF2CA57A-7DA7-402D-98F7-C3C603B6B406}</author>
    <author>tc={04599C53-D9FA-49F2-923B-EDB75AD601A2}</author>
    <author>tc={6F577B15-DEC3-4280-BB97-E6CA976D117B}</author>
    <author>tc={558DC68A-31E6-40BF-8F27-3467FE25D98D}</author>
    <author>tc={397FFE0C-F713-4E2F-B787-8428280F9203}</author>
    <author>tc={635CA893-B3CA-47BA-8F79-B4074D2943AC}</author>
    <author>tc={8620B4C4-3914-40DF-A218-4F9092ACBCCC}</author>
    <author>tc={0B7C2C1D-3BA7-464A-8F40-BB11C8377876}</author>
    <author>tc={A6B4B6DF-DD2A-463F-A7C3-7F87B17D3385}</author>
    <author>tc={2815824D-89DB-4994-9B34-7D12489A7D8C}</author>
    <author>tc={BC32CEEA-6CCC-42A0-9D55-CD12DF19372E}</author>
    <author>tc={DD218251-CF17-4800-B705-3E507BD24335}</author>
    <author>tc={1A2ACEFF-E713-463A-9D5B-54184A4CD29D}</author>
    <author>tc={A2183C8D-B3AF-4976-97A5-50EF84A0AF59}</author>
    <author>tc={6339678F-4C5D-4328-BE94-531FC243752F}</author>
    <author>tc={9A7C07C3-6A21-4EE8-BEF0-B48F9D85045A}</author>
    <author>tc={0FD87E57-4A0E-4B18-B9A5-14EFBAEA0360}</author>
    <author>tc={FC3D7DDB-A80F-4FFB-9267-3E86088C3010}</author>
  </authors>
  <commentList>
    <comment ref="A1" authorId="0" shapeId="0" xr:uid="{F6344F8B-2B3A-40F5-94E4-16B7A498AB4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Уникальный порядковый номер позиции</t>
      </text>
    </comment>
    <comment ref="B1" authorId="1" shapeId="0" xr:uid="{E3D9B2AC-BF73-467B-B4DB-9A01321331B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из спецификации заказчика</t>
      </text>
    </comment>
    <comment ref="C1" authorId="2" shapeId="0" xr:uid="{8F981E2E-A069-4F7D-B569-584150EAACC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Полный номер проекта из таблицы реестр проектов</t>
      </text>
    </comment>
    <comment ref="D1" authorId="3" shapeId="0" xr:uid="{7960CCAA-C85E-4532-A46A-96785E4D24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ВЫЧИСЛЯЕМЫЙ СТОЛБЕЦ, РУКАМИ НЕ ЗАПОЛНЯТЬ ! Номер заказа в рамках проекта из списка заказов</t>
      </text>
    </comment>
    <comment ref="E1" authorId="4" shapeId="0" xr:uid="{FE809EA2-7E50-4AEF-ADD4-15BD881CFCA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Версия коллекции - число. Под КОЛЛЕКЦИЕЙ понимается объект данных который описывает стока, она же одна запись датасета</t>
      </text>
    </comment>
    <comment ref="F1" authorId="5" shapeId="0" xr:uid="{FE5A4F88-C626-4813-B9F6-AC623AC192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комплекта</t>
      </text>
    </comment>
    <comment ref="G1" authorId="6" shapeId="0" xr:uid="{5D52B54C-0708-4CA1-A0BC-47334CF09CE6}">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Свободный (число или текст - латиницей) идентификатор комплекта
</t>
      </text>
    </comment>
    <comment ref="H1" authorId="7" shapeId="0" xr:uid="{70842CBF-5120-4049-9941-DC7047DC8A17}">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в комплекте</t>
      </text>
    </comment>
    <comment ref="I1" authorId="8" shapeId="0" xr:uid="{F4A88E00-01BF-4A9D-BB00-CA966B2636D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Полный порядковый номер позиции, состоящий из номер комплекта и номера порядкового в комплекте</t>
      </text>
    </comment>
    <comment ref="J1" authorId="9" shapeId="0" xr:uid="{890F2321-773B-4860-984E-8BC625841E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поставки позиции в данном заказе</t>
      </text>
    </comment>
    <comment ref="K1" authorId="10" shapeId="0" xr:uid="{2C22FD44-0F6F-4613-A453-FA7B515CF25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L1" authorId="11" shapeId="0" xr:uid="{BE27801C-0731-473F-8682-66560F0BB1E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Наименование позиции</t>
      </text>
    </comment>
    <comment ref="M1" authorId="12" shapeId="0" xr:uid="{BF2CA57A-7DA7-402D-98F7-C3C603B6B40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Технические характеристики позиции</t>
      </text>
    </comment>
    <comment ref="N1" authorId="13" shapeId="0" xr:uid="{04599C53-D9FA-49F2-923B-EDB75AD601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бренда производителя</t>
      </text>
    </comment>
    <comment ref="O1" authorId="14" shapeId="0" xr:uid="{6F577B15-DEC3-4280-BB97-E6CA976D11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поставщика</t>
      </text>
    </comment>
    <comment ref="P1" authorId="15" shapeId="0" xr:uid="{558DC68A-31E6-40BF-8F27-3467FE25D98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поставщика</t>
      </text>
    </comment>
    <comment ref="Q1" authorId="16" shapeId="0" xr:uid="{397FFE0C-F713-4E2F-B787-8428280F920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МАС/Горизонт</t>
      </text>
    </comment>
    <comment ref="R1" authorId="17" shapeId="0" xr:uid="{635CA893-B3CA-47BA-8F79-B4074D2943A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Единицы измерения из справочника</t>
      </text>
    </comment>
    <comment ref="S1" authorId="18" shapeId="0" xr:uid="{8620B4C4-3914-40DF-A218-4F9092ACBCC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единиц данной позиции в комплекте</t>
      </text>
    </comment>
    <comment ref="T1" authorId="19" shapeId="0" xr:uid="{0B7C2C1D-3BA7-464A-8F40-BB11C83778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комплектов в поставке</t>
      </text>
    </comment>
    <comment ref="U1" authorId="20" shapeId="0" xr:uid="{A6B4B6DF-DD2A-463F-A7C3-7F87B17D338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Итоговое количество по данной позиции в поставке</t>
      </text>
    </comment>
    <comment ref="V1" authorId="21" shapeId="0" xr:uid="{2815824D-89DB-4994-9B34-7D12489A7D8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в наличии у поставщика</t>
      </text>
    </comment>
    <comment ref="W1" authorId="22" shapeId="0" xr:uid="{BC32CEEA-6CCC-42A0-9D55-CD12DF19372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закупка</t>
      </text>
    </comment>
    <comment ref="X1" authorId="23" shapeId="0" xr:uid="{DD218251-CF17-4800-B705-3E507BD243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text>
    </comment>
    <comment ref="Y1" authorId="24" shapeId="0" xr:uid="{1A2ACEFF-E713-463A-9D5B-54184A4CD29D}">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Себестоимость без НДС - закупка
Автоматически заполняемый столбец
</t>
      </text>
    </comment>
    <comment ref="Z1" authorId="25" shapeId="0" xr:uid="{A2183C8D-B3AF-4976-97A5-50EF84A0A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Себестоимость с НДС - закупка
Автоматически заполняемый столбец</t>
      </text>
    </comment>
    <comment ref="AA1" authorId="26" shapeId="0" xr:uid="{6339678F-4C5D-4328-BE94-531FC243752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Идентификатор спецификации поставщика/дистрибьютера, на основе которой сформирована цена позиции. Из справочника ТКП поставщиков</t>
      </text>
    </comment>
    <comment ref="AB1" authorId="27" shapeId="0" xr:uid="{9A7C07C3-6A21-4EE8-BEF0-B48F9D85045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Комментарии внутренний - ТОЛЬКО ДЛЯ ВНУТРЕННЕГО СЛУЖЕБНОГО ПОЛЬЗОВАНИЯ. Полезная, дополнительная информация по позиции в свободной форме</t>
      </text>
    </comment>
    <comment ref="AC1" authorId="28" shapeId="0" xr:uid="{0FD87E57-4A0E-4B18-B9A5-14EFBAEA036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 ref="AD1" authorId="29" shapeId="0" xr:uid="{FC3D7DDB-A80F-4FFB-9267-3E86088C30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tc={309647A7-39FA-4D1C-9D34-F6589AA872B5}</author>
    <author>tc={CF0B5015-4158-4820-9F26-C26499DBA742}</author>
    <author>tc={21F0EC38-F450-4B3D-9F20-24E0A5086D76}</author>
    <author>tc={80AA62D7-622C-4FD5-BD05-73196064F988}</author>
    <author>tc={FD29CBDA-5DC6-4B24-8102-5F8F7BB14035}</author>
    <author>tc={63A27906-F095-41CD-A95D-65E7066FF0CA}</author>
    <author>tc={1C6B5050-6CB5-4334-B0BF-D352BE35FCDD}</author>
    <author>tc={D0474F68-7DA7-4FC0-8BD1-134ECFB12491}</author>
    <author>tc={9096AD6D-0080-4F91-9D46-8ADB24D70A9C}</author>
    <author>tc={F5520E19-1749-4935-937F-D330CD583E41}</author>
    <author>tc={CD8022F8-4810-4BA1-A1F9-0C15B5CF4AD3}</author>
    <author>tc={A186831B-F51A-48CE-8D1F-DD0498716A32}</author>
    <author>tc={7AB54C9D-A09E-42F2-9D72-BE02ECAADC92}</author>
    <author>tc={8E0C7296-1BDD-4B47-A850-27FD40517584}</author>
    <author>tc={9B32C0B5-C05B-484C-A693-11A0F23F77D8}</author>
    <author>tc={B42D3B41-058E-4983-94A4-8C60C7C63672}</author>
    <author>tc={56C833C4-D222-48BD-9788-D14B6BE0D29E}</author>
    <author>tc={F8030F50-FD87-4745-A651-025560126A86}</author>
  </authors>
  <commentList>
    <comment ref="F1" authorId="0" shapeId="0" xr:uid="{309647A7-39FA-4D1C-9D34-F6589AA872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G1" authorId="1" shapeId="0" xr:uid="{CF0B5015-4158-4820-9F26-C26499DBA74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Коэффициент наценки</t>
      </text>
    </comment>
    <comment ref="H1" authorId="2" shapeId="0" xr:uid="{21F0EC38-F450-4B3D-9F20-24E0A5086D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реализация
Автоматически заполняемый столбец</t>
      </text>
    </comment>
    <comment ref="I1" authorId="3" shapeId="0" xr:uid="{80AA62D7-622C-4FD5-BD05-73196064F98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Стоимость - реализация
Автоматически заполняемый столбец.</t>
      </text>
    </comment>
    <comment ref="J1" authorId="4" shapeId="0" xr:uid="{FD29CBDA-5DC6-4B24-8102-5F8F7BB140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t>
      </text>
    </comment>
    <comment ref="K1" authorId="5" shapeId="0" xr:uid="{63A27906-F095-41CD-A95D-65E7066FF0C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
Автоматически заполняемый столбец.</t>
      </text>
    </comment>
    <comment ref="L1" authorId="6" shapeId="0" xr:uid="{1C6B5050-6CB5-4334-B0BF-D352BE35FCD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Зарезервирована для будущих изменений в методиках расчета цены/стоимости</t>
      </text>
    </comment>
    <comment ref="M1" authorId="7" shapeId="0" xr:uid="{D0474F68-7DA7-4FC0-8BD1-134ECFB1249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Ставка НДС исполнителя (0.22 для ГОРИЗОНТ; 0.00 для МАС/ИП)
Автоматически заполняемый столбец</t>
      </text>
    </comment>
    <comment ref="N1" authorId="8" shapeId="0" xr:uid="{9096AD6D-0080-4F91-9D46-8ADB24D70A9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по позиции - реализация
Автоматически заполняемый столбец</t>
      </text>
    </comment>
    <comment ref="O1" authorId="9" shapeId="0" xr:uid="{F5520E19-1749-4935-937F-D330CD583E4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Исходящий НДС на ед.
Автоматически заполняемый столбец</t>
      </text>
    </comment>
    <comment ref="P1" authorId="10" shapeId="0" xr:uid="{CD8022F8-4810-4BA1-A1F9-0C15B5CF4AD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за ед. С НДС
Автоматически заполняемый столбец</t>
      </text>
    </comment>
    <comment ref="Q1" authorId="11" shapeId="0" xr:uid="{A186831B-F51A-48CE-8D1F-DD0498716A3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по позиции - реализация
Автоматически заполняемый столбец
</t>
      </text>
    </comment>
    <comment ref="R1" authorId="12" shapeId="0" xr:uid="{7AB54C9D-A09E-42F2-9D72-BE02ECAADC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НДС по позиции - реализация
Автоматически заполняемый столбец</t>
      </text>
    </comment>
    <comment ref="S1" authorId="13" shapeId="0" xr:uid="{8E0C7296-1BDD-4B47-A850-27FD4051758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по позиции с НДС - реализация
Автоматически заполняемый столбец</t>
      </text>
    </comment>
    <comment ref="T1" authorId="14" shapeId="0" xr:uid="{9B32C0B5-C05B-484C-A693-11A0F23F77D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Длительность в календарных днях реализации товара или услуги</t>
      </text>
    </comment>
    <comment ref="U1" authorId="15" shapeId="0" xr:uid="{B42D3B41-058E-4983-94A4-8C60C7C6367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закупки позиции в данном заказе</t>
      </text>
    </comment>
    <comment ref="V1" authorId="16" shapeId="0" xr:uid="{56C833C4-D222-48BD-9788-D14B6BE0D29E}">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пост-модификации коммерческих данных данной коллекции </t>
      </text>
    </comment>
    <comment ref="W1" authorId="17" shapeId="0" xr:uid="{F8030F50-FD87-4745-A651-025560126A8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для - заказчика.
Свободная информация по позиции для технических спецификаций предназначенных заказчику</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1"/>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3FD17BF8-C9CE-4741-824E-B925E562B4FC}" keepAlive="1" name="Запрос — Вызванная функцияProcessingTable (6)" description="Соединение с запросом &quot;Вызванная функцияProcessingTable (6)&quot; в книге." type="5" refreshedVersion="8" background="1" saveData="1">
    <dbPr connection="Provider=Microsoft.Mashup.OleDb.1;Data Source=$Workbook$;Location=&quot;Вызванная функцияProcessingTable (6)&quot;;Extended Properties=&quot;&quot;" command="SELECT * FROM [Вызванная функцияProcessingTable (6)]"/>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4">
    <s v="ThisWorkbookDataModel"/>
    <s v="{[TabSpecificationWork_1].[NUM FULL SET].&amp;[1.1],[TabSpecificationWork_1].[NUM FULL SET].&amp;[1.2],[TabSpecificationWork_1].[NUM FULL SET].&amp;[2.1],[TabSpecificationWork_1].[NUM FULL SET].&amp;[2.2],[TabSpecificationWork_1].[NUM FULL SET].&amp;[2.3],[TabSpecificationWork_1].[NUM FULL SET].&amp;[2.4],[TabSpecificationWork_1].[NUM FULL SET].&amp;[2.5],[TabSpecificationWork_1].[NUM FULL SET].&amp;[3.1],[TabSpecificationWork_1].[NUM FULL SET].&amp;[3.2],[TabSpecificationWork_1].[NUM FULL SET].&amp;[3.3],[TabSpecificationWork_1].[NUM FULL SET].&amp;[3.4],[TabSpecificationWork_1].[NUM FULL SET].&amp;[3.5],[TabSpecificationWork_1].[NUM FULL SET].&amp;[3.6],[TabSpecificationWork_1].[NUM FULL SET].&amp;[4.1],[TabSpecificationWork_1].[NUM FULL SET].&amp;[4.2],[TabSpecificationWork_1].[NUM FULL SET].&amp;[4.3],[TabSpecificationWork_1].[NUM FULL SET].&amp;[4.4],[TabSpecificationWork_1].[NUM FULL SET].&amp;[4.6],[TabSpecificationWork_1].[NUM FULL SET].&amp;[5.1]}"/>
    <s v="{[TabSpecificationWork_1].[isSHIPPED].[All]}"/>
    <s v="{[TabSpecificationWork_1].[NUM PROJECT].&amp;[1/2024-N3-ГОРИЗОНТ]}"/>
  </metadataStrings>
  <mdxMetadata count="3">
    <mdx n="0" f="s">
      <ms ns="1" c="0"/>
    </mdx>
    <mdx n="0" f="s">
      <ms ns="2" c="0"/>
    </mdx>
    <mdx n="0" f="s">
      <ms ns="3" c="0"/>
    </mdx>
  </mdxMetadata>
  <futureMetadata name="XLDAPR" count="1">
    <bk>
      <extLst>
        <ext uri="{bdbb8cdc-fa1e-496e-a857-3c3f30c029c3}">
          <xda:dynamicArrayProperties fDynamic="1" fCollapsed="0"/>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<sst xmlns="http://schemas.openxmlformats.org/spreadsheetml/2006/main" count="3681" uniqueCount="798">
  <si>
    <t>IDnum</t>
  </si>
  <si>
    <t>IDsource</t>
  </si>
  <si>
    <t>NUM PROJECT</t>
  </si>
  <si>
    <t>NUM ORDER</t>
  </si>
  <si>
    <t>VER COLLECTION</t>
  </si>
  <si>
    <t>DESCRIPTION SET</t>
  </si>
  <si>
    <t>IDset</t>
  </si>
  <si>
    <t>NUM SEQUENCE SET</t>
  </si>
  <si>
    <t>NUM FULL SET</t>
  </si>
  <si>
    <t>isSHIPPED</t>
  </si>
  <si>
    <t>HASH COLLECTION</t>
  </si>
  <si>
    <t>NAME PRODUCT</t>
  </si>
  <si>
    <t>DESCRIPTION PRODUCT</t>
  </si>
  <si>
    <t>BRAND</t>
  </si>
  <si>
    <t>SUPPLIER</t>
  </si>
  <si>
    <t>ARTICLE SUPPLIER</t>
  </si>
  <si>
    <t>ARTICLE INTERNAL</t>
  </si>
  <si>
    <t>UNITS</t>
  </si>
  <si>
    <t>QUANTITY SET</t>
  </si>
  <si>
    <t>QUANTITY SHIPPED SET</t>
  </si>
  <si>
    <t>QUANTITY TOTAL</t>
  </si>
  <si>
    <t>QUANTITY SUPPLIER</t>
  </si>
  <si>
    <t>PRICE UNIT $PURCHASE</t>
  </si>
  <si>
    <t>COST PRICE $PURCHASE</t>
  </si>
  <si>
    <t>TCP SOURCE</t>
  </si>
  <si>
    <t>COMMENT WORK</t>
  </si>
  <si>
    <t>URL PRODUCT</t>
  </si>
  <si>
    <t>IMAGE PRODUCT</t>
  </si>
  <si>
    <t>1/2024-N4-ГОРИЗОНТ</t>
  </si>
  <si>
    <t>true</t>
  </si>
  <si>
    <t>Коммутатор L3, OS3228</t>
  </si>
  <si>
    <t>ORIGO</t>
  </si>
  <si>
    <t>OCS</t>
  </si>
  <si>
    <t>шт</t>
  </si>
  <si>
    <t>Комплект модулей для активного сетевого оборудования</t>
  </si>
  <si>
    <t>false</t>
  </si>
  <si>
    <t>D-Link</t>
  </si>
  <si>
    <t>ДССЛ</t>
  </si>
  <si>
    <t>Модуль SFP с интерфейсом RJ45, до 100м</t>
  </si>
  <si>
    <t>SNR</t>
  </si>
  <si>
    <t>НАГ</t>
  </si>
  <si>
    <t>Cabeus</t>
  </si>
  <si>
    <t>ОнЛайн Трейд</t>
  </si>
  <si>
    <t>Lanmaster</t>
  </si>
  <si>
    <t>ЛУИС+ Самара</t>
  </si>
  <si>
    <t>NVIDIA</t>
  </si>
  <si>
    <t>noname</t>
  </si>
  <si>
    <t>1/2024-N3-ГОРИЗОНТ</t>
  </si>
  <si>
    <t>Коммутатор Huawei S6730-H48X6C</t>
  </si>
  <si>
    <t>Сетевая карта LR-Link OCP 3.0 2 порта 100G QSFP28 LRES3026PF-OCP</t>
  </si>
  <si>
    <t>Модуль 100G QSFP28 AOC, дальность до 3м</t>
  </si>
  <si>
    <t>Модуль SFP LX 20км (14dB)</t>
  </si>
  <si>
    <t>Модуль SFP+ оптический, дальность до 2км (9dB), 1310нм</t>
  </si>
  <si>
    <t>1/2024-N2-ГОРИЗОНТ</t>
  </si>
  <si>
    <t>Gigabyte</t>
  </si>
  <si>
    <t>Киберкуб</t>
  </si>
  <si>
    <t>1/2024-N5-ГОРИЗОНТ</t>
  </si>
  <si>
    <t xml:space="preserve">VER COLLECTION </t>
  </si>
  <si>
    <t>COEFFICIENT MARKUP</t>
  </si>
  <si>
    <t>PRICE UNIT $SALE</t>
  </si>
  <si>
    <t>COST DEAL $SALE</t>
  </si>
  <si>
    <t>DISCOUNT PERCENT</t>
  </si>
  <si>
    <t>DISCOUNT MONEY</t>
  </si>
  <si>
    <t>FORMULA SPECIFIC COST</t>
  </si>
  <si>
    <t>PRICE UNIT $TOTAL</t>
  </si>
  <si>
    <t>COST $TOTAL</t>
  </si>
  <si>
    <t>DURATION SALE $TOTAL</t>
  </si>
  <si>
    <t>isSUPPLIED</t>
  </si>
  <si>
    <t>isPROCESSING</t>
  </si>
  <si>
    <t>COMMENT CUSTOMER</t>
  </si>
  <si>
    <t>3</t>
  </si>
  <si>
    <t>2</t>
  </si>
  <si>
    <t>All</t>
  </si>
  <si>
    <t>(несколько элементов)</t>
  </si>
  <si>
    <t>НАИМЕНОВАНИЕ ПОЗИЦИИ</t>
  </si>
  <si>
    <t>Сумма по столбцу QUANTITY TOTAL</t>
  </si>
  <si>
    <t>Сумма по столбцу COST PRICE $PURCHASE</t>
  </si>
  <si>
    <t>Комплект активного сетевого оборудования</t>
  </si>
  <si>
    <t>Общий итог</t>
  </si>
  <si>
    <t>IDprojectfull</t>
  </si>
  <si>
    <t>GENERAL CONTRACTOR</t>
  </si>
  <si>
    <t>PROJECT CHIEF ENGINEER</t>
  </si>
  <si>
    <t>1/2022-N1-МАС</t>
  </si>
  <si>
    <t>none</t>
  </si>
  <si>
    <t>2/2022-N1-МАС</t>
  </si>
  <si>
    <t>3/2022-N1-МАС</t>
  </si>
  <si>
    <t>4/2022-N1-МАС</t>
  </si>
  <si>
    <t>5/2022-N1-МАС</t>
  </si>
  <si>
    <t>6/2022-N1-МАС</t>
  </si>
  <si>
    <t>7/2022-N1-МАС</t>
  </si>
  <si>
    <t>8/2022-N1-МАС</t>
  </si>
  <si>
    <t>9/2022-N1-МАС</t>
  </si>
  <si>
    <t>10/2022-N1-МАС</t>
  </si>
  <si>
    <t>11/2022-N1-МАС</t>
  </si>
  <si>
    <t>12/2022-N1-МАС</t>
  </si>
  <si>
    <t>13/2022-N1-МАС</t>
  </si>
  <si>
    <t>14/2022-N1-МАС</t>
  </si>
  <si>
    <t>15/2022-N1-МАС</t>
  </si>
  <si>
    <t>16/2022-N1-МАС</t>
  </si>
  <si>
    <t>17/2022-N1-МАС</t>
  </si>
  <si>
    <t>18/2022-N1-МАС</t>
  </si>
  <si>
    <t>19/2022-N1-МАС</t>
  </si>
  <si>
    <t>20/2022-N1-МАС</t>
  </si>
  <si>
    <t>21/2022-N1-МАС</t>
  </si>
  <si>
    <t>11/2023-N0-МАС</t>
  </si>
  <si>
    <t>29/2024-N0-МАС</t>
  </si>
  <si>
    <t>1/2024-N0-ГОРИЗОНТ</t>
  </si>
  <si>
    <t>2/2024-N0-ГОРИЗОНТ</t>
  </si>
  <si>
    <t>2/2024-N0-МАС</t>
  </si>
  <si>
    <t>1/2023-N1-МАС</t>
  </si>
  <si>
    <t>2/2023-N1-МАС</t>
  </si>
  <si>
    <t>3/2023-N1-МАС</t>
  </si>
  <si>
    <t>4/2023-N1-МАС</t>
  </si>
  <si>
    <t>5/2023-N1-МАС</t>
  </si>
  <si>
    <t>6/2023-N1-МАС</t>
  </si>
  <si>
    <t>7/2023-N1-МАС</t>
  </si>
  <si>
    <t>8/2023-N1-ГОРИЗОНТ</t>
  </si>
  <si>
    <t>9/2023-N1-ГОРИЗОНТ</t>
  </si>
  <si>
    <t>10/2023-N1-МАС</t>
  </si>
  <si>
    <t>12/2023-N1-МАС</t>
  </si>
  <si>
    <t>12/2023-N1-ГОРИЗОНТ</t>
  </si>
  <si>
    <t>13/2023-N1-МАС</t>
  </si>
  <si>
    <t>14/2023-N1-МАС</t>
  </si>
  <si>
    <t>15/2023-N1-МАС</t>
  </si>
  <si>
    <t>16/2023-N1-МАС</t>
  </si>
  <si>
    <t>5/2024-N1-МАС</t>
  </si>
  <si>
    <t>1/2024-N1-ГОРИЗОНТ</t>
  </si>
  <si>
    <t>2/2024-N1-МАС</t>
  </si>
  <si>
    <t>3/2024-N1-МАС</t>
  </si>
  <si>
    <t>4/2024-N1-МАС</t>
  </si>
  <si>
    <t>5/2024-N2-МАС</t>
  </si>
  <si>
    <t>6/2024-N1-МАС</t>
  </si>
  <si>
    <t>7/2024-N1-МАС</t>
  </si>
  <si>
    <t>Каргаполова Мария Петровна</t>
  </si>
  <si>
    <t>8/2024-N1-МАС</t>
  </si>
  <si>
    <t>9/2024-N1-МАС</t>
  </si>
  <si>
    <t>10/2024-N1-МАС</t>
  </si>
  <si>
    <t>11/2024-N1-МАС</t>
  </si>
  <si>
    <t>12/2024-N1-МАС</t>
  </si>
  <si>
    <t>13/2024-N1-МАС</t>
  </si>
  <si>
    <t>14/2024-N1-МАС</t>
  </si>
  <si>
    <t>15/2024-N1-МАС</t>
  </si>
  <si>
    <t>16/2024-N1-МАС</t>
  </si>
  <si>
    <t>17/2024-N1-МАС</t>
  </si>
  <si>
    <t>18/2024-N1-МАС</t>
  </si>
  <si>
    <t>19/2024-N1-МАС</t>
  </si>
  <si>
    <t>20/2024-N1-МАС</t>
  </si>
  <si>
    <t>21/2024-N1-МАС</t>
  </si>
  <si>
    <t>22/2024-N1-МАС</t>
  </si>
  <si>
    <t>23/2024-N1-МАС</t>
  </si>
  <si>
    <t>24/2024-N1-МАС</t>
  </si>
  <si>
    <t>25/2024-N1-МАС</t>
  </si>
  <si>
    <t>1/2025-N1-МАС</t>
  </si>
  <si>
    <t>26/2024-N1-МАС</t>
  </si>
  <si>
    <t>1/2025-N1-ГОРИЗОНТ</t>
  </si>
  <si>
    <t>27/2024-N1-ГОРИЗОНТ</t>
  </si>
  <si>
    <t>28/2024-N1-МАС</t>
  </si>
  <si>
    <t>17/2023-N1-МАС</t>
  </si>
  <si>
    <t>3/2024-N1-ГОРИЗОНТ</t>
  </si>
  <si>
    <t>2/2025-N1-КУКУШКИН ИВАН НИКОЛАЕВИЧ</t>
  </si>
  <si>
    <t>2/2025-N1-ГОРИЗОНТ</t>
  </si>
  <si>
    <t>3/2025-N1-ГОРИЗОНТ</t>
  </si>
  <si>
    <t>4/2025-N0-ГОРИЗОНТ</t>
  </si>
  <si>
    <t>4/2025-N1-ГОРИЗОНТ</t>
  </si>
  <si>
    <t>5/2025-N1-ГОРИЗОНТ</t>
  </si>
  <si>
    <t>5/2025-N0-ГОРИЗОНТ</t>
  </si>
  <si>
    <t>6/2025-N1-МАС</t>
  </si>
  <si>
    <t>7/2025-N1-МАС</t>
  </si>
  <si>
    <t>8/2025-N0-МАС</t>
  </si>
  <si>
    <t>9/2025-N0-КУКУШКИН ИВАН НИКОЛАЕВИЧ</t>
  </si>
  <si>
    <t>9/2025-N1-КУКУШКИН ИВАН НИКОЛАЕВИЧ</t>
  </si>
  <si>
    <t>10/2025-N1-ГОРИЗОНТ</t>
  </si>
  <si>
    <t>11/2025-N0-ГОРИЗОНТ</t>
  </si>
  <si>
    <t>11/2025-N1-ГОРИЗОНТ</t>
  </si>
  <si>
    <t>12/2025-N0-МАС</t>
  </si>
  <si>
    <t>3/2024-N0-ГОРИЗОНТ</t>
  </si>
  <si>
    <t>12/2025-N1-МАС</t>
  </si>
  <si>
    <t>13/2025-N1-МАС</t>
  </si>
  <si>
    <t>14/2025-N1-ГОРИЗОНТ</t>
  </si>
  <si>
    <t>29/2024-N1-МАС</t>
  </si>
  <si>
    <t>15/2025-N0-КУКУШКИН ИВАН НИКОЛАЕВИЧ</t>
  </si>
  <si>
    <t>5/2024-N3-МАС</t>
  </si>
  <si>
    <t>Северсталь</t>
  </si>
  <si>
    <t>10/2024-N0-КУКУШКИН ИВАН НИКОЛАЕВИЧ</t>
  </si>
  <si>
    <t>10/2024-N1-КУКУШКИН ИВАН НИКОЛАЕВИЧ</t>
  </si>
  <si>
    <t>10/2024-N2-КУКУШКИН ИВАН НИКОЛАЕВИЧ</t>
  </si>
  <si>
    <t>10/2024-N3-КУКУШКИН ИВАН НИКОЛАЕВИЧ</t>
  </si>
  <si>
    <t>10/2024-N4-КУКУШКИН ИВАН НИКОЛАЕВИЧ</t>
  </si>
  <si>
    <t>10/2024-N5-КУКУШКИН ИВАН НИКОЛАЕВИЧ</t>
  </si>
  <si>
    <t>10/2024-N6-КУКУШКИН ИВАН НИКОЛАЕВИЧ</t>
  </si>
  <si>
    <t>Кукушкин Иван Николаевич</t>
  </si>
  <si>
    <t>16/2025-N1-МАС</t>
  </si>
  <si>
    <t>Маяк Производственное Объединение</t>
  </si>
  <si>
    <t>17/2025-N1-ГОРИЗОНТ</t>
  </si>
  <si>
    <t>18/2025-N0-МАС</t>
  </si>
  <si>
    <t>ТЦ Базис</t>
  </si>
  <si>
    <t>19/2025-N0-ГОРИЗОНТ</t>
  </si>
  <si>
    <t>20/2025-N0-КУКУШКИН ИВАН НИКОЛАЕВИЧ</t>
  </si>
  <si>
    <t>21/2025-N0-МАС</t>
  </si>
  <si>
    <t>21/2025-N1-МАС</t>
  </si>
  <si>
    <t>22/2025-N0-МАС</t>
  </si>
  <si>
    <t>22/2025-N1-МАС</t>
  </si>
  <si>
    <t>23/2025-N1-МАС</t>
  </si>
  <si>
    <t>Точные машины</t>
  </si>
  <si>
    <t>24/2025-N1-МАС</t>
  </si>
  <si>
    <t>25/2025-N0-МАС</t>
  </si>
  <si>
    <t>25/2025-N1-МАС</t>
  </si>
  <si>
    <t>IDvendor</t>
  </si>
  <si>
    <t>Амперка</t>
  </si>
  <si>
    <t>Знаток</t>
  </si>
  <si>
    <t>Pitsco</t>
  </si>
  <si>
    <t>Arduino</t>
  </si>
  <si>
    <t>Feetech</t>
  </si>
  <si>
    <t>61mcu</t>
  </si>
  <si>
    <t>DFRobot</t>
  </si>
  <si>
    <t>Yahboom</t>
  </si>
  <si>
    <t>Hipe</t>
  </si>
  <si>
    <t>Iarduino</t>
  </si>
  <si>
    <t>LiitoKala</t>
  </si>
  <si>
    <t>Sharp</t>
  </si>
  <si>
    <t>МАСОР</t>
  </si>
  <si>
    <t>МЭЛТ</t>
  </si>
  <si>
    <t>Kingbright</t>
  </si>
  <si>
    <t xml:space="preserve">Texas Instruments </t>
  </si>
  <si>
    <t>Philips</t>
  </si>
  <si>
    <t>Epcos</t>
  </si>
  <si>
    <t>WeMos</t>
  </si>
  <si>
    <t>LG</t>
  </si>
  <si>
    <t>FlySky</t>
  </si>
  <si>
    <t>Nanopix</t>
  </si>
  <si>
    <t xml:space="preserve">Racerstar </t>
  </si>
  <si>
    <t>DJI</t>
  </si>
  <si>
    <t>AKK Technology</t>
  </si>
  <si>
    <t>Eachine</t>
  </si>
  <si>
    <t>Happymodel</t>
  </si>
  <si>
    <t>BETAFPV</t>
  </si>
  <si>
    <t>HQProp</t>
  </si>
  <si>
    <t>Gaoneng</t>
  </si>
  <si>
    <t>Dinogy</t>
  </si>
  <si>
    <t>Bringsmart</t>
  </si>
  <si>
    <t>SkyRC</t>
  </si>
  <si>
    <t>Hyperline</t>
  </si>
  <si>
    <t xml:space="preserve">Waveshare </t>
  </si>
  <si>
    <t>Raspberry PI</t>
  </si>
  <si>
    <t>ClimateGuard</t>
  </si>
  <si>
    <t>Sciosense</t>
  </si>
  <si>
    <t>Samsung</t>
  </si>
  <si>
    <t>Элком+</t>
  </si>
  <si>
    <t>NSGate</t>
  </si>
  <si>
    <t>Kingston</t>
  </si>
  <si>
    <t>SanDisk</t>
  </si>
  <si>
    <t>DIATONE INNOVATIONS</t>
  </si>
  <si>
    <t>BrotherHobby</t>
  </si>
  <si>
    <t>HAKRC</t>
  </si>
  <si>
    <t>DM-RC</t>
  </si>
  <si>
    <t>Readytosky</t>
  </si>
  <si>
    <t>AirParts</t>
  </si>
  <si>
    <t>RadioMaster</t>
  </si>
  <si>
    <t xml:space="preserve">	Rush</t>
  </si>
  <si>
    <t>TBS</t>
  </si>
  <si>
    <t>Radiomaster</t>
  </si>
  <si>
    <t>Foxeer</t>
  </si>
  <si>
    <t>GepRC</t>
  </si>
  <si>
    <t>SpeedyBee</t>
  </si>
  <si>
    <t>Caddx</t>
  </si>
  <si>
    <t>Flywoo</t>
  </si>
  <si>
    <t>Gemfan</t>
  </si>
  <si>
    <t>Xiaomi</t>
  </si>
  <si>
    <t>Горизонт</t>
  </si>
  <si>
    <t>ISA</t>
  </si>
  <si>
    <t>STMicroelectronics</t>
  </si>
  <si>
    <t>Hiper</t>
  </si>
  <si>
    <t xml:space="preserve">Orange </t>
  </si>
  <si>
    <t>Hoco</t>
  </si>
  <si>
    <t>ОКЛИК</t>
  </si>
  <si>
    <t>Baseus</t>
  </si>
  <si>
    <t>Huawei</t>
  </si>
  <si>
    <t>LR-Link</t>
  </si>
  <si>
    <t>MikroTik</t>
  </si>
  <si>
    <t>Яндекс</t>
  </si>
  <si>
    <t>Sonoff</t>
  </si>
  <si>
    <t>Aqara</t>
  </si>
  <si>
    <t>Spruthub</t>
  </si>
  <si>
    <t>Tfortis</t>
  </si>
  <si>
    <t>NIKOMAX</t>
  </si>
  <si>
    <t>МАС</t>
  </si>
  <si>
    <t>IDsupplier</t>
  </si>
  <si>
    <t>COMPANY_LABEL</t>
  </si>
  <si>
    <t>РоботБаза</t>
  </si>
  <si>
    <t>ОЗОН</t>
  </si>
  <si>
    <t>Амперкот</t>
  </si>
  <si>
    <t>Supereyes</t>
  </si>
  <si>
    <t>Platan</t>
  </si>
  <si>
    <t>Robotclass</t>
  </si>
  <si>
    <t>Вольтмастер</t>
  </si>
  <si>
    <t>Fixfly</t>
  </si>
  <si>
    <t>ХоббиРу</t>
  </si>
  <si>
    <t>МИНИБОТ</t>
  </si>
  <si>
    <t>Паркфлаер</t>
  </si>
  <si>
    <t>RC-TODAY.RU</t>
  </si>
  <si>
    <t>PLUS3</t>
  </si>
  <si>
    <t>IP-mania</t>
  </si>
  <si>
    <t>X-models</t>
  </si>
  <si>
    <t>RcDrive</t>
  </si>
  <si>
    <t>RC-GO.RU</t>
  </si>
  <si>
    <t>Air-hobby.ru</t>
  </si>
  <si>
    <t>RCcopter.ru</t>
  </si>
  <si>
    <t>MyDrone</t>
  </si>
  <si>
    <t>CompactTool</t>
  </si>
  <si>
    <t>RoboShop</t>
  </si>
  <si>
    <t>Duino</t>
  </si>
  <si>
    <t>Умные модули</t>
  </si>
  <si>
    <t>Город карт</t>
  </si>
  <si>
    <t>Robot-kit</t>
  </si>
  <si>
    <t>18650pro.ru</t>
  </si>
  <si>
    <t>ДНС</t>
  </si>
  <si>
    <t>Ситилинк</t>
  </si>
  <si>
    <t>OnPad</t>
  </si>
  <si>
    <t>Альбитех</t>
  </si>
  <si>
    <t>Чип и Дип</t>
  </si>
  <si>
    <t>Parts Direct</t>
  </si>
  <si>
    <t>кп</t>
  </si>
  <si>
    <t>чел/час</t>
  </si>
  <si>
    <t>этап</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</si>
  <si>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</si>
  <si>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</si>
  <si>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</si>
  <si>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</si>
  <si>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</si>
  <si>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</si>
  <si>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</si>
  <si>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</si>
  <si>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</si>
  <si>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</si>
  <si>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</si>
  <si>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</si>
  <si>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</si>
  <si>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</si>
  <si>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</si>
  <si>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</si>
  <si>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</si>
  <si>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TabSpecificationWork_1</t>
  </si>
  <si>
    <t>№ п/п</t>
  </si>
  <si>
    <t>int</t>
  </si>
  <si>
    <t>[1, 300]</t>
  </si>
  <si>
    <t>Числовой</t>
  </si>
  <si>
    <t>center</t>
  </si>
  <si>
    <t>Уникальный порядковый номер позиции</t>
  </si>
  <si>
    <t>№ ИСХ</t>
  </si>
  <si>
    <t>Порядковый номер позиции из спецификации заказчика</t>
  </si>
  <si>
    <t>№ ПРОЕКТА</t>
  </si>
  <si>
    <t>text</t>
  </si>
  <si>
    <t>[13, 25]</t>
  </si>
  <si>
    <t>TabProjectList</t>
  </si>
  <si>
    <t>Текстовый</t>
  </si>
  <si>
    <t>Полный номер проекта из таблицы реестр проектов</t>
  </si>
  <si>
    <t>НОМЕР ЗАКАЗА ПРОЕКТА</t>
  </si>
  <si>
    <t>[1, 100]</t>
  </si>
  <si>
    <t>Номер заказа в рамках проекта. Автоматически вычисляется средствами Excel при выбранном номере проектав столбце 'NUM PROJECT'</t>
  </si>
  <si>
    <t>ВЕРСИЯ КОЛЛЕКЦИИ</t>
  </si>
  <si>
    <t>[1, 50]</t>
  </si>
  <si>
    <r>
      <t xml:space="preserve">Версия коллекции - число. Под </t>
    </r>
    <r>
      <rPr>
        <b/>
        <sz val="11"/>
        <color theme="1"/>
        <rFont val="Calibri"/>
        <family val="2"/>
        <charset val="204"/>
        <scheme val="minor"/>
      </rPr>
      <t>КОЛЛЕКЦИЕЙ</t>
    </r>
    <r>
      <rPr>
        <sz val="11"/>
        <color theme="1"/>
        <rFont val="Calibri"/>
        <family val="2"/>
        <charset val="204"/>
        <scheme val="minor"/>
      </rPr>
      <t xml:space="preserve"> понимается объект данных который описывает стока, она же одна запись датасета</t>
    </r>
  </si>
  <si>
    <t>ОПИСАНИЕ КОМПЛЕКТА</t>
  </si>
  <si>
    <t>[5, 300]</t>
  </si>
  <si>
    <t>up</t>
  </si>
  <si>
    <t>left</t>
  </si>
  <si>
    <t>Название комплекта</t>
  </si>
  <si>
    <t>ИДЕНТИФИКАТОР КОМПЛЕКТА</t>
  </si>
  <si>
    <t>Свободный (число или текст - латиницей) идентификатор комплекта</t>
  </si>
  <si>
    <t>ПОРЯДКОВЫЙ НОМЕР В КОМПЛЕКТЕ</t>
  </si>
  <si>
    <t>Порядковый номер позиции в комплекте</t>
  </si>
  <si>
    <t>ПОЛНЫЙ ИДЕНТИФИКАТОР КОЛЛЕКЦИИ</t>
  </si>
  <si>
    <t>Общий</t>
  </si>
  <si>
    <t>Полный порядковый номер позиции, состоящий из номер комплекта и номера порядкового в комплекте</t>
  </si>
  <si>
    <t>ПРИЗНАК ПОСТАВКИ ПОЗИЦИИ</t>
  </si>
  <si>
    <t>[4, 5]</t>
  </si>
  <si>
    <t>Признак поставки позиции в данном заказе</t>
  </si>
  <si>
    <t>ХЭШ КОЛЛЕКЦИИ</t>
  </si>
  <si>
    <t>Уникальное хэш значение, характеризуемое текущую коллекцию</t>
  </si>
  <si>
    <t>НАИМЕНОВАНИЕ</t>
  </si>
  <si>
    <t>[3, 300]</t>
  </si>
  <si>
    <t>Наименование позиции</t>
  </si>
  <si>
    <t>ОПИСАНИЕ/ХАРАКТЕРИСТИКИ</t>
  </si>
  <si>
    <t>[10, 1000]</t>
  </si>
  <si>
    <t>Технические характеристики позиции</t>
  </si>
  <si>
    <t>БРЕНД</t>
  </si>
  <si>
    <t>[3, 50]</t>
  </si>
  <si>
    <t>TableVendorAndBrand</t>
  </si>
  <si>
    <t>Название бренда производителя из справочника</t>
  </si>
  <si>
    <t>ПОСТАВЩИК</t>
  </si>
  <si>
    <t>TabSupplier</t>
  </si>
  <si>
    <t>Название поставщика из справочника</t>
  </si>
  <si>
    <t>АРТИКУЛ ПОСТАВЩИК</t>
  </si>
  <si>
    <t>Артикул поставщика</t>
  </si>
  <si>
    <t>АРТИКУЛ МАС</t>
  </si>
  <si>
    <t>Артикул МАС</t>
  </si>
  <si>
    <t>ЕД ИЗМ</t>
  </si>
  <si>
    <t>[0, 2]</t>
  </si>
  <si>
    <t>TabUnits</t>
  </si>
  <si>
    <t>Единицы измерения из справочника</t>
  </si>
  <si>
    <t>КОЛИЧЕСТВО В КОМПЛЕКТЕ</t>
  </si>
  <si>
    <t>Количество единиц данной позиции в комплекте</t>
  </si>
  <si>
    <t>КОМПЛЕКТОВ В ПОСТАВКЕ</t>
  </si>
  <si>
    <t>Количество комплектов в поставке</t>
  </si>
  <si>
    <t>КОЛИЧЕСТВО ИТОГО</t>
  </si>
  <si>
    <t>Итоговое количество по данной позиции в поставке</t>
  </si>
  <si>
    <t>КОЛИЧЕСТВО У ПОСТАВ-КА</t>
  </si>
  <si>
    <t>[0, 999]</t>
  </si>
  <si>
    <t>Количество в наличии у поставщика</t>
  </si>
  <si>
    <t>float</t>
  </si>
  <si>
    <t>down</t>
  </si>
  <si>
    <t>right</t>
  </si>
  <si>
    <t>Цена за единицу - закупка</t>
  </si>
  <si>
    <t>[1, 5000000]</t>
  </si>
  <si>
    <t>ТКП ПОСТАВЩИКА</t>
  </si>
  <si>
    <t>[7, 1000]</t>
  </si>
  <si>
    <t>TabTCPSupplier</t>
  </si>
  <si>
    <t>Идентификатор спецификации поставщика/дистрибьютера, на основе которой сформирована цена позиции. Из справочника ТКП поставщиков</t>
  </si>
  <si>
    <t>ПРИМЕЧАНИЕ РАБОЧЕЕ</t>
  </si>
  <si>
    <t>[7, 3000]</t>
  </si>
  <si>
    <t>Комментарии внутренний - ТОЛЬКО ДЛЯ ВНУТРЕННЕГО СЛУЖЕБНОГО ПОЛЬЗОВАНИЯ. Полезная, дополнительная информация по позиции в свободной форме</t>
  </si>
  <si>
    <t>ССЫЛКА НА ПРОДУКТ</t>
  </si>
  <si>
    <t>Прямая ссылка на позицию на сайте производителя/поставщика</t>
  </si>
  <si>
    <t>ИЗОБРАЖЕНИЕ ТМЦ</t>
  </si>
  <si>
    <t>Ссылка на изображение</t>
  </si>
  <si>
    <t>TabSpecificationWork_2</t>
  </si>
  <si>
    <t>КОЭФФИЦИЕНТ НАЦЕНКИ</t>
  </si>
  <si>
    <t>[1, 10]</t>
  </si>
  <si>
    <t>Коэффициент наценки</t>
  </si>
  <si>
    <t>ЦЕНА ЗА ЕД. $РЕАЛИЗАЦИЯ</t>
  </si>
  <si>
    <t>Цена за единицу - реализация</t>
  </si>
  <si>
    <t>СТОИМОСТЬ $РЕАЛИЗАЦИЯ</t>
  </si>
  <si>
    <t>Стоимость - реализация</t>
  </si>
  <si>
    <t>СКИДКА %</t>
  </si>
  <si>
    <t>[0, 70]</t>
  </si>
  <si>
    <t>Скидка в процентах</t>
  </si>
  <si>
    <t>СКИДКА В РУБЛЯХ</t>
  </si>
  <si>
    <t>Скидка в рублях</t>
  </si>
  <si>
    <t>СПЕЦИФИЧЕСКИЙ РАСЧЕТ СТОИМОСТИ</t>
  </si>
  <si>
    <t>[0, 300]</t>
  </si>
  <si>
    <t>Колонка зарезервирована для будущих изменений в методиках рассчета цены/стоимости</t>
  </si>
  <si>
    <t>ЦЕНА ЗА ЕД. $ИТОГ</t>
  </si>
  <si>
    <t>Итоговая цена по позиции - реализация</t>
  </si>
  <si>
    <t>СТОИМОСТЬ $ИТОГ</t>
  </si>
  <si>
    <t>[1, 10000000]</t>
  </si>
  <si>
    <t>Итоговая стоимость по позиции - реализация</t>
  </si>
  <si>
    <t>ДЛИТЕЛЬНОСТЬ РЕАЛИЗАЦИИ $ИТОГ</t>
  </si>
  <si>
    <t>Длительность в календарных днях реализации товара или услуги</t>
  </si>
  <si>
    <t>ПРИЗНАК ПОЗИЦИИ В ПОСТАВКЕ</t>
  </si>
  <si>
    <t>Признак закупки позиции в данном заказе</t>
  </si>
  <si>
    <t>ПРИЗНАК ПОСТ ОБРАБОТКИ</t>
  </si>
  <si>
    <t xml:space="preserve">Признак  пост-модификации коммерческих данных данной коллекции </t>
  </si>
  <si>
    <t>ПРИМЕЧАНИЕ ЗАКАЗЧИК</t>
  </si>
  <si>
    <t>[0, 3000]</t>
  </si>
  <si>
    <t>IDconfig</t>
  </si>
  <si>
    <t>CONFIG_JSON</t>
  </si>
  <si>
    <t>RunLeftJOIN_tab1_tab2</t>
  </si>
  <si>
    <t>{
        "TabSpecificationWork_1": {
                "1": {
                        "RunLeftJOINstructure": []
                }
        },
        "TabSpecificationWork_2": {
                "1": {}
        }
}</t>
  </si>
  <si>
    <t>Конфигурация выполняет объединение  "TabSpecificationWork_1" и "TabSpecificationWork_2", для получение полной таблицы "TabSpecificationWork"</t>
  </si>
  <si>
    <t>26/2025-N1-ГОРИЗОНТ</t>
  </si>
  <si>
    <t>27/2025-N0-МАС</t>
  </si>
  <si>
    <t>Кукушкин И.Н.</t>
  </si>
  <si>
    <t>4/2025-N2-ГОРИЗОНТ</t>
  </si>
  <si>
    <t>25/2025-N2-МАС</t>
  </si>
  <si>
    <t>21/2025-N2-МАС</t>
  </si>
  <si>
    <t>28/2025-N1-МАС</t>
  </si>
  <si>
    <t>25/2025-N3-МАС</t>
  </si>
  <si>
    <t>27/2025-N1-МАС</t>
  </si>
  <si>
    <t>1/2026-N1-МАС</t>
  </si>
  <si>
    <t>1/2026-N1-ГОРИЗОНТ</t>
  </si>
  <si>
    <t>VAT ADD PRICE $PURCHASE</t>
  </si>
  <si>
    <t>VAT RATE CONTRACTOR $TOTAL</t>
  </si>
  <si>
    <t>VAT ADD PRICE UNIT $TOTAL</t>
  </si>
  <si>
    <t>PRICE VAT UNIT $TOTAL</t>
  </si>
  <si>
    <t>COST ADD VAT $TOTAL</t>
  </si>
  <si>
    <t>COST VAT $TOTAL</t>
  </si>
  <si>
    <t>[0, 2000000]</t>
  </si>
  <si>
    <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</si>
  <si>
    <t>Ставка НДС исполнителя (0.22 для ГОРИЗОНТ; 0.00 для МАС/ИП)</t>
  </si>
  <si>
    <t>СТАВКА НДС, ИСПОЛНИТЕЛЯ</t>
  </si>
  <si>
    <t>[0, 22]</t>
  </si>
  <si>
    <t>[1, 25000000]</t>
  </si>
  <si>
    <t>[1, 240]</t>
  </si>
  <si>
    <t>НДС, ДОПОЛНИТЕЛЬНО К ЦЕНЕ $ИТОГ</t>
  </si>
  <si>
    <t>Исходящий НДС на ед. - реализация</t>
  </si>
  <si>
    <t>ЦЕНА ЗА ЕД., С НДС $ИТОГ</t>
  </si>
  <si>
    <t>Цена с НДС за ед. - реализация</t>
  </si>
  <si>
    <t>НДС, ДОПОЛНИТЕЛЬНО К СТОИМОСТИ $ИТОГ</t>
  </si>
  <si>
    <t>СТОИМОСТЬ, С НДС $ИТОГ</t>
  </si>
  <si>
    <t>Стоимость с НДС - реализация</t>
  </si>
  <si>
    <t>1</t>
  </si>
  <si>
    <t/>
  </si>
  <si>
    <t>8/2026-N1-ГОРИЗОНТ</t>
  </si>
  <si>
    <t>Инжиниринг проектный - КР</t>
  </si>
  <si>
    <t>Проектирование модуля размещения электронных компонентов ПТК</t>
  </si>
  <si>
    <t>Проектирование узла коммутации сети ~230 В</t>
  </si>
  <si>
    <t>Разработка эскизов общего вида Изделия</t>
  </si>
  <si>
    <t>Проектирование транспортировочной тары</t>
  </si>
  <si>
    <t>Проектирование двери спиральной секции т 2-х приемников ТМЦ</t>
  </si>
  <si>
    <t>5/2026-N1-ГОРИЗОНТ</t>
  </si>
  <si>
    <t>4/2026-N1-ГОРИЗОНТ</t>
  </si>
  <si>
    <t>Марви</t>
  </si>
  <si>
    <t>6/2023-N0-МАС</t>
  </si>
  <si>
    <t>6/2023-N3-МАС</t>
  </si>
  <si>
    <t>6/2023-N4-МАС</t>
  </si>
  <si>
    <t>29/2024-N2-МАС</t>
  </si>
  <si>
    <t>29/2024-N3-МАС</t>
  </si>
  <si>
    <t>2/2025-N0-МАС</t>
  </si>
  <si>
    <t>2/2025-N1-МАС</t>
  </si>
  <si>
    <t>2/2025-N2-МАС</t>
  </si>
  <si>
    <t>6/2024-N0-МАС</t>
  </si>
  <si>
    <t>6/2024-N2-МАС</t>
  </si>
  <si>
    <t>21/2025-N3-МАС</t>
  </si>
  <si>
    <t>21/2025-N4-МАС</t>
  </si>
  <si>
    <t>21/2025-N5-МАС</t>
  </si>
  <si>
    <t>21/2025-N6-МАС</t>
  </si>
  <si>
    <t>21/2025-N7-МАС</t>
  </si>
  <si>
    <t>21/2025-N8-МАС</t>
  </si>
  <si>
    <t>25/2025-N4-МАС</t>
  </si>
  <si>
    <t>25/2025-N5-МАС</t>
  </si>
  <si>
    <t>25/2025-N6-МАС</t>
  </si>
  <si>
    <t>29/2024-N4-МАС</t>
  </si>
  <si>
    <t>2/2026-N1-МАС</t>
  </si>
  <si>
    <t>5/2024-N4-МАС</t>
  </si>
  <si>
    <t>27/2025-N2-МАС</t>
  </si>
  <si>
    <t>29/2024-N5-МАС</t>
  </si>
  <si>
    <t>27/2025-N3-МАС</t>
  </si>
  <si>
    <t>27/2025-N4-МАС</t>
  </si>
  <si>
    <t>12/2025-N2-МАС</t>
  </si>
  <si>
    <t>12/2025-N3-МАС</t>
  </si>
  <si>
    <t>12/2025-N4-МАС</t>
  </si>
  <si>
    <t>3/2026-N1-ГОРИЗОНТ</t>
  </si>
  <si>
    <t>Фонд содействия инновациям</t>
  </si>
  <si>
    <t>6/2026-N1-ГОРИЗОНТ</t>
  </si>
  <si>
    <t>7/2026-N1-ГОРИЗОНТ</t>
  </si>
  <si>
    <t>8/2026-N0-ГОРИЗОНТ</t>
  </si>
  <si>
    <t>8/2026-N2-ГОРИЗОНТ</t>
  </si>
  <si>
    <t>1/2026-N2-МАС</t>
  </si>
  <si>
    <t>СЕБЕСТОИМОСТЬ $ЗАКУПКА</t>
  </si>
  <si>
    <t>ВХОДЯЩИЙ НДС ЗА ЕД. $ЗАКУПКА</t>
  </si>
  <si>
    <t>ЦЕНА ЗА ЕД. $ЗАКУПКА</t>
  </si>
  <si>
    <t>СЕБЕСТОИМОСТЬ С НДС $ЗАКУПКА</t>
  </si>
  <si>
    <t>COST PRICE VAT $PURCHASE</t>
  </si>
  <si>
    <t>Себестоимость без НДС - закупка</t>
  </si>
  <si>
    <t>Себестоимость с НДС - закупка</t>
  </si>
  <si>
    <t>Итоговая НДС по позиции - реализация</t>
  </si>
  <si>
    <t>DSL - конфигурация предназначена для генерации 'to customer fin' спецификации в соответствии с новыми командами  и требованиями ETL процессора версии - 'rev.05 v02' а также она (конфигурация) явялется разновидность 'type 4'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</si>
  <si>
    <t>gen-spec-to_customer_fin-base</t>
  </si>
  <si>
    <t>[0, 500000]</t>
  </si>
  <si>
    <t>[20, 20]</t>
  </si>
  <si>
    <t>00-000-0000-000-0000</t>
  </si>
  <si>
    <t>Позиция - проектно-конструкторские работы</t>
  </si>
  <si>
    <t>[32, 55]</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</si>
  <si>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5] } },
        { "isSHIPPED": { "fvCheckNonEmpty": [], "fvCheckTextLength": [4, 5] } },
        { "HASH COLLECTION": { "fvCheckNonEmpty": [], "fvCheckTextLength": [32, 55]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[20, 20]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"COMMENT WORK": { "fvCheckNonEmpty": [], "fvCheckTextLength": [7, 3000]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[0,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[1,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"8/2026-N1-ГОРИЗОНТ" }
      ],
      "RemoveRowAll": [
        {
          "row_1": {
            "IndexSearchColumn": "isSHIPPED",
            "IndexSearchRow": "false"
          }
        }
      ]
    },
    "3": {
      "FilterSpecMaxVer": []
    },
    "4": {
      "RemoveXorColumn": [
        "NUM FULL SET",
        "NAME PRODUCT",
        "UNITS",
        "QUANTITY TOTAL",
        "PRICE UNIT $TOTAL",
        "COST $TOTAL",
        "COST ADD VAT $TOTAL",
        "VAT RATE CONTRACTOR $TOTAL",
        "PRICE VAT UNIT $TOTAL",
        "COST VAT $TOTAL",
        "DURATION SALE $TOTAL"
      ],
      "FinancialRound": [
        {
          "rule_1": {
            "SourceQuantity": "QUANTITY TOTAL",
            "SourceBasePrice": "PRICE UNIT $TOTAL",
            "SourceVatRate": "VAT RATE CONTRACTOR $TOTAL",
            "TargetPriceNoVat": "PRICE UNIT $TOTAL",
            "TargetCostNoVat": "COST $TOTAL",
            "TargetVatSum": "COST ADD VAT $TOTAL",
            "TargetPriceVat": "PRICE VAT UNIT $TOTAL",
            "TargetCostVat": "COST VAT $TOTAL"
          }
        }
      ]
    },
    "5": {
      "RemoveXorColumn": [
        "NUM FULL SET",
        "NAME PRODUCT",
        "UNITS",
        "QUANTITY TOTAL",
        "PRICE UNIT $TOTAL",
        "COST $TOTAL",
        "COST ADD VAT $TOTAL",
        "DURATION SALE $TOTAL"
      ],
      "RenameColumn": [
        { "NUM FULL SET": "№" },
        { "NAME PRODUCT": "НАИМЕНОВАНИЕ" },
        { "UNITS": "ЕД ИЗМ." },
        { "QUANTITY TOTAL": "КОЛ-ВО" },
        { "PRICE UNIT $TOTAL": "ЦЕНА БЕЗ НДС, руб" },
        { "COST $TOTAL": "СТОИМОСТЬ БЕЗ НДС, руб" },
        { "COST ADD VAT $TOTAL": "НДС, руб" },
        { "DURATION SALE $TOTAL": "ДЛИТЕЛЬНОСТЬ, КАЛ. ДНЕЙ" }
      ]
    },
    "6": {
      "ColumnSetType": [
        { "№": "text" },
        { "НАИМЕНОВАНИЕ": "text" },
        { "ЕД ИЗМ.": "text" },
        { "КОЛ-ВО": "int" },
        { "ЦЕНА БЕЗ НДС, руб": "float" },
        { "СТОИМОСТЬ БЕЗ НДС, руб": "float" },
        { "НДС, руб": "float" },
        { "ДЛИТЕЛЬНОСТЬ, КАЛ. ДНЕЙ": "int" }
      ]
    }
  }
}</t>
  </si>
  <si>
    <t>ы</t>
  </si>
  <si>
    <t>Комментарий для - заказчика.
Свободная информация по позиции для технических спецификаций предназначенных заказчику</t>
  </si>
  <si>
    <t>[0, 5000000]</t>
  </si>
  <si>
    <t>Инжиниринг проектный - КД</t>
  </si>
  <si>
    <t>00-000-0000-000-0001</t>
  </si>
  <si>
    <t>00-000-0000-000-0002</t>
  </si>
  <si>
    <t>Инжиниринг предпроектный - КД</t>
  </si>
  <si>
    <t>Инжиниринг проектный - АСУ</t>
  </si>
  <si>
    <t>Инжиниринг постпроектный - КД</t>
  </si>
  <si>
    <t>Комплектование и сборка ПТК, адаптированного для управления Изделием.
Результатом работ по этапу является:
 - полнофункциональный укомплектованный ПТК для управления изделием.</t>
  </si>
  <si>
    <t>Комплексные испытания одного аппарата с обновленным набором сенсоров, актуаторов и новой системы управления.
Результатом работ по этапу является:
 - протокол комплексных испытаний;
 - откорректированное на основе тестов  прикладное ПО всех уровней, прошедшее проверку реализованной функциональности;
 - акт готовности изделия к эксплуатации.</t>
  </si>
  <si>
    <t>8/2026-N3-ГОРИЗОНТ</t>
  </si>
  <si>
    <t>ТЗ на определения реестра технических и организационных мероприятий нацеленных на адаптацию ПТК для управления Изделием.
Результатом работ по этапу является:
 - утвержденное ТЗ №2, на адаптацию ПТК.</t>
  </si>
  <si>
    <t>Инженерный анализ существующей конструкции изделия.
Постаматный вендинговый аппарата, модель «Knowhy» G80/master</t>
  </si>
  <si>
    <t>Разработка ТЗ №1 на изделие в целом.
Постаматный вендинговый аппарата, модель «Knowhy» G80/master</t>
  </si>
  <si>
    <t>Разработка ТЗ №2 на адаптацию ПТК.
Постаматный вендинговый аппарата, модель «Knowhy» G80/master</t>
  </si>
  <si>
    <t>Комплексное тестирование аппарата на базе новой системы управления.
Постаматный вендинговый аппарата, модель «Knowhy» G80/master</t>
  </si>
  <si>
    <t>Адаптация, комплектование и сборка ПТК в соответствии с ТЗ №2.
Постаматный вендинговый аппарата, модель «Knowhy» G80/master</t>
  </si>
  <si>
    <t>Изучение конструкционных, функциональных характеристик  Изделия. Получение параметров характеристик.
Результатом работ по этапу является:
 - внутренний технический отчет о выявленных качественных и количественных особенностях данной модели Изделия.</t>
  </si>
  <si>
    <t>Определение функциональных, технических требований к изделию в целом. Проработка списка корректируемых разделов, требуемых для адаптации ПТК.
 Результатом работ по этапу является:
 - утвержденное ТЗ №1 на Изделие, содержащее перечень функциональных, технических требований.</t>
  </si>
  <si>
    <t>Определение функциональных, технических требований к изделию в целом. Проработка списка корректируемых разделов, требуемых для адаптации ПТК.
Результатом работ по этапу является:
 - утвержденное ТЗ №1 на Изделие, содержащее перечень функциональных, технических требований.</t>
  </si>
  <si>
    <t>1.101.1</t>
  </si>
  <si>
    <t>8/2026-n1-горизонт-ver_1-set_1.101.1-true</t>
  </si>
  <si>
    <t>1.101.2</t>
  </si>
  <si>
    <t>8/2026-n1-горизонт-ver_1-set_1.101.2-true</t>
  </si>
  <si>
    <t>1.101.3</t>
  </si>
  <si>
    <t>8/2026-n1-горизонт-ver_1-set_1.101.3-true</t>
  </si>
  <si>
    <t>1.101.4</t>
  </si>
  <si>
    <t>8/2026-n1-горизонт-ver_1-set_1.101.4-true</t>
  </si>
  <si>
    <t>1.101.5</t>
  </si>
  <si>
    <t>8/2026-n1-горизонт-ver_1-set_1.101.5-true</t>
  </si>
  <si>
    <t>1.102.1</t>
  </si>
  <si>
    <t>1.101.6</t>
  </si>
  <si>
    <t>8/2026-n1-горизонт-ver_1-set_1.101.6-true</t>
  </si>
  <si>
    <t>1.101.7</t>
  </si>
  <si>
    <t>8/2026-n1-горизонт-ver_1-set_1.101.7-true</t>
  </si>
  <si>
    <t>1.103.1</t>
  </si>
  <si>
    <t>8/2026-n1-горизонт-ver_1-set_1.103.1-false</t>
  </si>
  <si>
    <t>2.101.1</t>
  </si>
  <si>
    <t>8/2026-n2-горизонт-ver_1-set_2.101.1-true</t>
  </si>
  <si>
    <t>2.101.2</t>
  </si>
  <si>
    <t>8/2026-n2-горизонт-ver_1-set_2.101.2-true</t>
  </si>
  <si>
    <t>2.101.3</t>
  </si>
  <si>
    <t>8/2026-n2-горизонт-ver_1-set_2.101.3-true</t>
  </si>
  <si>
    <t>2.102.1</t>
  </si>
  <si>
    <t>8/2026-n2-горизонт-ver_1-set_2.102.1-true</t>
  </si>
  <si>
    <t>2.103.1</t>
  </si>
  <si>
    <t>8/2026-n2-горизонт-ver_1-set_2.103.1-true</t>
  </si>
  <si>
    <t>3.101.1</t>
  </si>
  <si>
    <t>3.101.2</t>
  </si>
  <si>
    <t>3.101.3</t>
  </si>
  <si>
    <t>3.102.1</t>
  </si>
  <si>
    <t>3.103.1</t>
  </si>
  <si>
    <t>3.201.1</t>
  </si>
  <si>
    <t>8/2026-n3-горизонт-ver_1-set_3.201.1-true</t>
  </si>
  <si>
    <t>3.201.2</t>
  </si>
  <si>
    <t>8/2026-n3-горизонт-ver_1-set_3.201.2-true</t>
  </si>
  <si>
    <t>3.201.3</t>
  </si>
  <si>
    <t>8/2026-n3-горизонт-ver_1-set_3.201.3-true</t>
  </si>
  <si>
    <t>3.202.1</t>
  </si>
  <si>
    <t>8/2026-n3-горизонт-ver_1-set_3.202.1-true</t>
  </si>
  <si>
    <t>3.203.1</t>
  </si>
  <si>
    <t>8/2026-n3-горизонт-ver_1-set_3.203.1-true</t>
  </si>
  <si>
    <t>3.301.1</t>
  </si>
  <si>
    <t>8/2026-n3-горизонт-ver_1-set_3.301.1-true</t>
  </si>
  <si>
    <t>3.301.2</t>
  </si>
  <si>
    <t>8/2026-n3-горизонт-ver_1-set_3.301.2-true</t>
  </si>
  <si>
    <t>3.301.3</t>
  </si>
  <si>
    <t>8/2026-n3-горизонт-ver_1-set_3.301.3-true</t>
  </si>
  <si>
    <t>3.302.1</t>
  </si>
  <si>
    <t>8/2026-n3-горизонт-ver_1-set_3.302.1-true</t>
  </si>
  <si>
    <t>3.303.1</t>
  </si>
  <si>
    <t>8/2026-n3-горизонт-ver_1-set_3.303.1-true</t>
  </si>
  <si>
    <t>3.401.1</t>
  </si>
  <si>
    <t>8/2026-n3-горизонт-ver_1-set_3.401.1-true</t>
  </si>
  <si>
    <t>3.401.2</t>
  </si>
  <si>
    <t>8/2026-n3-горизонт-ver_1-set_3.401.2-true</t>
  </si>
  <si>
    <t>3.401.3</t>
  </si>
  <si>
    <t>8/2026-n3-горизонт-ver_1-set_3.401.3-true</t>
  </si>
  <si>
    <t>3.402.1</t>
  </si>
  <si>
    <t>8/2026-n3-горизонт-ver_1-set_3.402.1-true</t>
  </si>
  <si>
    <t>3.403.1</t>
  </si>
  <si>
    <t>8/2026-n3-горизонт-ver_1-set_3.403.1-true</t>
  </si>
  <si>
    <t>3.501.1</t>
  </si>
  <si>
    <t>3.501.2</t>
  </si>
  <si>
    <t>3.501.3</t>
  </si>
  <si>
    <t>3.502.1</t>
  </si>
  <si>
    <t>3.503.1</t>
  </si>
  <si>
    <t>3.601.1</t>
  </si>
  <si>
    <t>8/2026-n3-горизонт-ver_1-set_3.601.1-true</t>
  </si>
  <si>
    <t>3.601.2</t>
  </si>
  <si>
    <t>8/2026-n3-горизонт-ver_1-set_3.601.2-true</t>
  </si>
  <si>
    <t>3.601.3</t>
  </si>
  <si>
    <t>8/2026-n3-горизонт-ver_1-set_3.601.3-true</t>
  </si>
  <si>
    <t>3.602.1</t>
  </si>
  <si>
    <t>8/2026-n3-горизонт-ver_1-set_3.602.1-true</t>
  </si>
  <si>
    <t>3.603.1</t>
  </si>
  <si>
    <t>8/2026-n3-горизонт-ver_1-set_3.603.1-true</t>
  </si>
  <si>
    <t>[3, 7]</t>
  </si>
  <si>
    <t>Позиция - проектные работы</t>
  </si>
  <si>
    <t>Позиция - инжиниринговые работы. В составе:
- доработка конструкции;
- доработка ПО;
- комплектование ТМЦ;
- монтажные работы ПТК и аппарата в целом.</t>
  </si>
  <si>
    <t>Позиция - инжиниринговые работы. В составе:
- тестирование;
- доработка ПО.</t>
  </si>
  <si>
    <r>
      <t xml:space="preserve">Общий срок реализации: </t>
    </r>
    <r>
      <rPr>
        <b/>
        <sz val="11"/>
        <color theme="1"/>
        <rFont val="Calibri"/>
        <family val="2"/>
        <charset val="204"/>
        <scheme val="minor"/>
      </rPr>
      <t>~100</t>
    </r>
    <r>
      <rPr>
        <sz val="11"/>
        <color theme="1"/>
        <rFont val="Calibri"/>
        <family val="2"/>
        <charset val="204"/>
        <scheme val="minor"/>
      </rPr>
      <t xml:space="preserve"> 
календарных дней</t>
    </r>
  </si>
  <si>
    <t>Общий срок реализации: ~100 
календарных дней</t>
  </si>
  <si>
    <t xml:space="preserve"> </t>
  </si>
  <si>
    <r>
      <t xml:space="preserve">Позиция - проектно-конструкторские работы.
</t>
    </r>
    <r>
      <rPr>
        <b/>
        <sz val="11"/>
        <color theme="1"/>
        <rFont val="Calibri"/>
        <family val="2"/>
        <charset val="204"/>
        <scheme val="minor"/>
      </rPr>
      <t>ВАЖНОЕ ПРИМЕЧАНИЕ</t>
    </r>
    <r>
      <rPr>
        <sz val="11"/>
        <color theme="1"/>
        <rFont val="Calibri"/>
        <family val="2"/>
        <charset val="204"/>
        <scheme val="minor"/>
      </rPr>
      <t xml:space="preserve">: по итогу преддоговорных переговоров (митап  </t>
    </r>
    <r>
      <rPr>
        <b/>
        <sz val="11"/>
        <color theme="1"/>
        <rFont val="Calibri"/>
        <family val="2"/>
        <charset val="204"/>
        <scheme val="minor"/>
      </rPr>
      <t>2.10.2026</t>
    </r>
    <r>
      <rPr>
        <sz val="11"/>
        <color theme="1"/>
        <rFont val="Calibri"/>
        <family val="2"/>
        <charset val="204"/>
        <scheme val="minor"/>
      </rPr>
      <t>) было принято решение включить данный пункт в состав работ</t>
    </r>
  </si>
  <si>
    <r>
      <t>Общий срок реализации по всем позициям заказа:
~</t>
    </r>
    <r>
      <rPr>
        <b/>
        <sz val="11"/>
        <color theme="1"/>
        <rFont val="Calibri"/>
        <family val="2"/>
        <charset val="204"/>
        <scheme val="minor"/>
      </rPr>
      <t>180</t>
    </r>
    <r>
      <rPr>
        <sz val="11"/>
        <color theme="1"/>
        <rFont val="Calibri"/>
        <family val="2"/>
        <charset val="204"/>
        <scheme val="minor"/>
      </rPr>
      <t xml:space="preserve">  календарных дней</t>
    </r>
  </si>
  <si>
    <t>8/2026-n1-горизонт-ver_1-set_1.102.1-true</t>
  </si>
  <si>
    <t>Позиция - проектно-конструкторские работы.
ВАЖНОЕ ПРИМЕЧАНИЕ: по итогу преддоговорных переговоров (митап  2.10.2026) было принято решение включить данный пункт в состав работ</t>
  </si>
  <si>
    <t>Общий срок реализации по всем позициям заказа:
~180  календарных дней</t>
  </si>
  <si>
    <t>3.701.1</t>
  </si>
  <si>
    <t>3.701.2</t>
  </si>
  <si>
    <t>3.701.3</t>
  </si>
  <si>
    <t>3.702.1</t>
  </si>
  <si>
    <t>3.703.1</t>
  </si>
  <si>
    <r>
      <t xml:space="preserve">Общий срок реализации по всем позициям: </t>
    </r>
    <r>
      <rPr>
        <b/>
        <sz val="11"/>
        <color theme="1"/>
        <rFont val="Calibri"/>
        <family val="2"/>
        <charset val="204"/>
        <scheme val="minor"/>
      </rPr>
      <t>~134</t>
    </r>
    <r>
      <rPr>
        <sz val="11"/>
        <color theme="1"/>
        <rFont val="Calibri"/>
        <family val="2"/>
        <charset val="204"/>
        <scheme val="minor"/>
      </rPr>
      <t xml:space="preserve">
календарных дней</t>
    </r>
  </si>
  <si>
    <t>Общий срок реализации по всем позициям: ~134
календарных дней</t>
  </si>
  <si>
    <t>Инженерный анализ существующей конструкции изделия.
Гибридный (спираль/постамат) вендинговый аппарат, модель Wate Tecnology L8050 stand-alone/master</t>
  </si>
  <si>
    <t>Разработка ТЗ №1 на изделие в целом.
Гибридный (спираль/постамат) вендинговый аппарат, модель Wate Tecnology L8050 stand-alone/master</t>
  </si>
  <si>
    <t>Разработка ТЗ №2 на адаптацию ПТК к данной модели.
Гибридный (спираль/постамат) вендинговый аппарат, модель Wate Tecnology L8050 stand-alone/master</t>
  </si>
  <si>
    <t>Адаптация, комплектование и сборка ПТК в соответствии с ТЗ №2.
Гибридный (спираль/постамат) вендинговый аппарат, модель Wate Tecnology L8050 stand-alone/master</t>
  </si>
  <si>
    <t>Комплексное тестирование аппарата на базе новой системы управления.
Гибридный (спираль/постамат) вендинговый аппарат, модель Wate Tecnology L8050 stand-alone/master</t>
  </si>
  <si>
    <t>Инженерный анализ существующей конструкции изделия.
Гибридный (спираль/постамат) вендинговый аппарат, модель Wate Tecnology L8050/master</t>
  </si>
  <si>
    <t>Разработка ТЗ №1 на изделие в целом.
Гибридный (спираль/постамат) вендинговый аппарат, модель Wate Tecnology L8050/master</t>
  </si>
  <si>
    <t>Разработка ТЗ №2 на адаптацию ПТК к данной модели.
Гибридный (спираль/постамат) вендинговый аппарат, модель Wate Tecnology L8050/master</t>
  </si>
  <si>
    <t>Адаптация, комплектование и сборка ПТК в соответствии с ТЗ №2.
Гибридный (спираль/постамат) вендинговый аппарат, модель Wate Tecnology L8050/master</t>
  </si>
  <si>
    <t>Комплексное тестирование аппарата на базе новой системы управления.
Гибридный (спираль/постамат) вендинговый аппарат, модель Wate Tecnology L8050/master</t>
  </si>
  <si>
    <t>Инженерный анализ существующей конструкции изделия.
Спиральный вендинговый аппарат, модель Wate Tecnology  L80/master</t>
  </si>
  <si>
    <t>Разработка ТЗ №1 на изделие в целом.
Спиральный вендинговый аппарат, модель Wate Tecnology  L80/master</t>
  </si>
  <si>
    <t>Разработка ТЗ №2 на адаптацию ПТК.
Спиральный вендинговый аппарат, модель Wate Tecnology  L80/master</t>
  </si>
  <si>
    <t>Адаптация, комплектование и сборка ПТК в соответствии с ТЗ №2.
Спиральный вендинговый аппарат, модель Wate Tecnology  L80/master</t>
  </si>
  <si>
    <t>Комплексное тестирование аппарата на базе новой системы управления.
Спиральный вендинговый аппарат, модель Wate Tecnology  L80/master</t>
  </si>
  <si>
    <t>Консалтинговые услуги. Выездная приемка комплектующих на территории производител, модель Wate Tecnology L8050 stand-alone/master</t>
  </si>
  <si>
    <t>Позиция - инжиниринговые работы. В составе:
- выездной консалтинг.</t>
  </si>
  <si>
    <t>Комплексная выездная приемка комплектующих для вендинговых аппаратов на территории производителя</t>
  </si>
  <si>
    <t>Инжиниринг постпроектный - консалтинг</t>
  </si>
  <si>
    <t>Консалтинговые услуги. Выездная приемка комплектующих на территории производител, модель Wate Tecnology L8050/master</t>
  </si>
  <si>
    <t>Консалтинговые услуги. Выездная приемка комплектующих на территории производител, модель Wate Tecnology  L80/master</t>
  </si>
  <si>
    <t>Консалтинговые услуги. Выездная приемка комплектующих на территории производител, модель Wate Tecnology L50/master</t>
  </si>
  <si>
    <t>Комплексное тестирование аппарата на базе новой системы управления.
Спиральный вендинговый аппарат, модель Wate Tecnology L50/master</t>
  </si>
  <si>
    <t>Адаптация, комплектование и сборка ПТК в соответствии с ТЗ №2. Модель Wate Tecnology L50/master</t>
  </si>
  <si>
    <t>Разработка ТЗ №2 на адаптацию ПТК.
Спиральный вендинговый аппарат, модель Wate Tecnology L50/master</t>
  </si>
  <si>
    <t>Разработка ТЗ №1 на изделие в целом.
Спиральный вендинговый аппарат, модель Wate Tecnology L50/master</t>
  </si>
  <si>
    <t>Инженерный анализ существующей конструкции изделия.
Спиральный вендинговый аппарат, модель Wate Tecnology L50/master</t>
  </si>
  <si>
    <t>Комплексное тестирование аппарата на базе новой системы управления.
Постаматный вендинговый аппарат, модель Wate Tecnology С80/master</t>
  </si>
  <si>
    <t>Адаптация, комплектование и сборка ПТК в соответствии с ТЗ №2.
Постаматный вендинговый аппарат, модель Wate Tecnology С80/master</t>
  </si>
  <si>
    <t>Разработка ТЗ №2 на адаптацию ПТК к данной модели.
Постаматный вендинговый аппарат, модель Wate Tecnology С80/master</t>
  </si>
  <si>
    <t>Разработка ТЗ №1 на изделие в целом.
Постаматный вендинговый аппарат, модель Wate Tecnology С80/master</t>
  </si>
  <si>
    <t>Инженерный анализ существующей конструкции изделия.
Постаматный вендинговый аппарат, модель Wate Tecnology С80/master</t>
  </si>
  <si>
    <t>Консалтинговые услуги. Выездная приемка комплектующих на территории производител, модель Wate Tecnology С80/master</t>
  </si>
  <si>
    <t>Комплексное тестирование аппарата на базе новой системы управления.
Постаматный вендинговый аппарат, модель Wate Tecnology С80P/master</t>
  </si>
  <si>
    <t>Инженерный анализ существующей конструкции изделия.
Постаматный вендинговый аппарат, модель Wate Tecnology С80P/master</t>
  </si>
  <si>
    <t>Разработка ТЗ №1 на изделие в целом.
Постаматный вендинговый аппарат, модель Wate Tecnology С80P/master</t>
  </si>
  <si>
    <t>Разработка ТЗ №2 на адаптацию ПТК к данной модели.
Постаматный вендинговый аппарат, модель Wate Tecnology С80P/master</t>
  </si>
  <si>
    <t>Адаптация, комплектование и сборка ПТК в соответствии с ТЗ №2.
Постаматный вендинговый аппарат, модель Wate Tecnology С80P/master</t>
  </si>
  <si>
    <t>Консалтинговые услуги. Выездная приемка комплектующих на территории производител, модель Wate Tecnology С80P/master</t>
  </si>
  <si>
    <t>Инженерный анализ существующей конструкции изделия.
Постаматный вендинговый аппарат, модель Wate Tecnology С80/slave</t>
  </si>
  <si>
    <t>Разработка ТЗ №1 на изделие в целом.
Постаматный вендинговый аппарат, модель Wate Tecnology С80/slave</t>
  </si>
  <si>
    <t>Разработка ТЗ №2 на адаптацию ПТК к данной модели.
Постаматный вендинговый аппарат, модель Wate Tecnology С80/slave</t>
  </si>
  <si>
    <t>Адаптация, комплектование и сборка ПТК в соответствии с ТЗ №2.
Постаматный вендинговый аппарат, модель Wate Tecnology С80/slave</t>
  </si>
  <si>
    <t>Комплексное тестирование аппарата на базе новой системы управления.
Постаматный вендинговый аппарат, модель Wate Tecnology С80/slave</t>
  </si>
  <si>
    <t>Консалтинговые услуги. Выездная приемка комплектующих на территории производител, модель Wate Tecnology С80/slave</t>
  </si>
  <si>
    <t>3.104.1</t>
  </si>
  <si>
    <t>3.204.1</t>
  </si>
  <si>
    <t>8/2026-n3-горизонт-ver_1-set_3.204.1-true</t>
  </si>
  <si>
    <t>3.304.1</t>
  </si>
  <si>
    <t>8/2026-n3-горизонт-ver_1-set_3.304.1-true</t>
  </si>
  <si>
    <t>3.404.1</t>
  </si>
  <si>
    <t>8/2026-n3-горизонт-ver_1-set_3.404.1-true</t>
  </si>
  <si>
    <t>3.504.1</t>
  </si>
  <si>
    <t>3.604.1</t>
  </si>
  <si>
    <t>8/2026-n3-горизонт-ver_1-set_3.604.1-true</t>
  </si>
  <si>
    <t>3.704.1</t>
  </si>
  <si>
    <t>Проектирование 2-х моделей кронштейнов для крепления IP камер 1-го типа (статическая камера, фиксация выдачи ТМЦ) и  2-го типа (поворотная PTZ камера).
Состав работ:
- анализ конструкции потенциальных точек крепления;
- анализ допустимых трас Ethernet кабеля;
- анализ типов крепления современных IP камер;
- создание упрощенной 3D модели компонентов;
- разработка 3D проекта;
- разработка комплекта КД.
 Результатом работ по этапу является:
 - комплект КД для изготовления модуля.</t>
  </si>
  <si>
    <t>Проектирование металлоконструкции Двери №1 (дверь доступа к спиральной секции), с учетом удаления лифта и статического крепления 2-х корзин выдачи ТМЦ.
Состав работ:
- анализ конструкции существующей двер и узлов лифта;
- анализ существующих сенсоров и актуаторов Двери №1;
- разработка 3D проекта;
- разработка комплекта КД.
 Результатом работ по этапу является:
 - комплект КД для изготовления модуля.</t>
  </si>
  <si>
    <t xml:space="preserve">Проведение инженерного анализа текущей конструкции Изделия в точках крепления колес. Цель - оценка возможного решения которое позволит увеличить межосевое расстояние левой и правой пар колес (вдоль длинной стороны Изделия).
Состав работ:
- инженерный анализ текущей конструкции аппарата в точках крепления колес;
- анализ конструкции колес
- оценка вариантов смещения крепления колес.
 Результатом работ по этапу является:
 - отчет с ценкой возможности проведения конструкторсских работ, с кратким описанием технологии решения задачи,  оценкой стоимости и сроков выполнения работ.
</t>
  </si>
  <si>
    <t>Проведение конструкторской и технологической оценки переноса точек крепления колес</t>
  </si>
  <si>
    <t>Проектирование кронштейна крепления камер видеонаблюдения</t>
  </si>
  <si>
    <t>Проектирование кронштейна для камер видеонаблюдения</t>
  </si>
  <si>
    <t>Проектирование кронштейна для камер видеонаблюдения.
Состав работ:
- анализ конструкции потенциальных точек крепления;
- анализ допустимых трас Ethernet кабеля;
- анализ типов крепления современных IP камер;
- создание упрощенной 3D модели компонентов;
- разработка 3D проекта;
- разработка комплекта КД.
 Результатом работ по этапу является:
 - комплект КД для изготовления модуля.</t>
  </si>
  <si>
    <t>Разработка основных видов Изделия с размерами.  Состав работ:
- анализ геометрии и конструкционных особенностей Изделия;
- обмер основных внешних и внутренних размеров конструкции Изделия;
- создание упрощенной 3D модели изделия;
- разработка 3D проекта;
- разработка комплекта эскизов.
 Результатом работ по этапу является:
 - комплект эскизов.</t>
  </si>
  <si>
    <t>8/2026-n1-горизонт-ver_2-set_1.101.7-true</t>
  </si>
  <si>
    <t>Проектирование конструкции модуля, предназначенного для размещения электронных узлов  ПТК Изделия. Состав работ:
- анализ существующего пространства для размещения электроники;
- обмер электронных компонентов ПТК;
- создание упрощенной 3D модели электронных  компонентов ПТК;
- разработка 3D проекта;
- разработка комплекта КД.
 Результатом работ по этапу является:
 - комплект КД для изготовления модуля.</t>
  </si>
  <si>
    <t>Проектирование конструкции модуля, предназначенного для подключения к Изделию сети переменного тока ~230 В, вынос модуля  в зону доступности  персонала,  интеграция в модуль автоматического выключателя в соответствии с ПУЭ, заземляющего контакта.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</si>
  <si>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Проектирование интегрированного узла крепления LCD дисплея, хаба АСУ ВУ, RFID и QR считывателей</t>
  </si>
  <si>
    <t>Проектирование конструкции модуля, предназначенного для создания интегрированного узла крепления HMI компонентов - LCD дисплея, хаба АСУ ВУ, RFID и QR считывателя. Данный модуль предназначен для замены крепления существующего моноблока. Модуль ( при соответствующем подборе размера LCD дисплея) устанавливается в нишу Двери №2 (правая дверь) в освободившийся проем.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</si>
  <si>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Проектирование внешнего  бокса для размещения HMI компонентов - LCD, RFID, QR, хаб ВУ</t>
  </si>
  <si>
    <t>Проектирование внешнего бокса, предназначенного для  размещения HMI компонентов - LCD, RFID, QR, хаб ВУ. Состав работ:
- анализ существующих решений;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</si>
  <si>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Разработка конструкции транспортировочной тары и элементов защиты внутренних компонентов Изделия критичных к механическим воздействиям. Состав работ:
- анализ геометрии и конструкционных особенностей Изделия;
- изучение существующих решений;
- создание упрощенной 3D модели компонентов подлежащих защите;
- разработка 3D проекта;
- разработка комплекта КД.
 Результатом работ по этапу является:
 - комплект КД для изготовления тары.</t>
  </si>
  <si>
    <t>Изучение конструкционных, функциональных характеристик  Изделия. Получение параметров характеристик.
Результатом работ по этапу является:
 - технический отчет о выявленных качественных и количественных особенностях данной модели Изделия.</t>
  </si>
  <si>
    <t>Позиция - проектные работы.
Позиция исключена решением заказчика на преддоговорных переговорах.</t>
  </si>
  <si>
    <t>Позиция - инжиниринговые работы. В составе:
- доработка конструкции;
- доработка ПО;
- комплектование ТМЦ;
- монтажные работы ПТК и аппарата в целом.
Позиция исключена решением заказчика на преддоговорных переговорах.</t>
  </si>
  <si>
    <t>Позиция - инжиниринговые работы. В составе:
- тестирование;
- доработка ПО.
Позиция исключена решением заказчика на преддоговорных переговорах.</t>
  </si>
  <si>
    <t>Позиция - инжиниринговые работы. В составе:
- выездной консалтинг.
Позиция исключена решением заказчика на преддоговорных переговорах.</t>
  </si>
  <si>
    <t>Разработка ТЗ №1 на изделие в целом.
Постаматный вендинговый аппарат, модель Wate Tecnology С100/slave</t>
  </si>
  <si>
    <t>Разработка ТЗ №2 на адаптацию ПТК к данной модели.
Постаматный вендинговый аппарат, модель Wate Tecnology С100/slave</t>
  </si>
  <si>
    <t>Адаптация, комплектование и сборка ПТК в соответствии с ТЗ №2.
Постаматный вендинговый аппарат, модель Wate Tecnology С100/slave</t>
  </si>
  <si>
    <t>Комплексное тестирование аппарата на базе новой системы управления.
Постаматный вендинговый аппарат, модель Wate Tecnology С100/slave</t>
  </si>
  <si>
    <t>Консалтинговые услуги. Выездная приемка комплектующих на территории производител, модель Wate Tecnology С100/slave</t>
  </si>
  <si>
    <t>Инженерный анализ существующей конструкции изделия.
Постаматный вендинговый аппарат, модель Wate Tecnology С100/slave</t>
  </si>
  <si>
    <t>Позиция - проектные работы.
Позиция заменена: С80/slave - &gt; С100/slave решением заказчика на преддоговорных переговорах.</t>
  </si>
  <si>
    <t>Позиция - инжиниринговые работы. В составе:
- доработка конструкции;
- доработка ПО;
- комплектование ТМЦ;
- монтажные работы ПТК и аппарата в целом.
Позиция заменена: С80/slave - &gt; С100/slave решением заказчика на преддоговорных переговорах.</t>
  </si>
  <si>
    <t>Позиция - инжиниринговые работы. В составе:
- тестирование;
- доработка ПО.
Позиция заменена: С80/slave - &gt; С100/slave решением заказчика на преддоговорных переговорах.</t>
  </si>
  <si>
    <t>Позиция - инжиниринговые работы. В составе:
- выездной консалтинг.
Позиция заменена: С80/slave - &gt; С100/slave решением заказчика на преддоговорных переговорах.</t>
  </si>
  <si>
    <t>Позиция - проектные работы.
Позиция заменена: С80/master - &gt; G24P/master решением заказчика на преддоговорных переговорах.</t>
  </si>
  <si>
    <t>Позиция - инжиниринговые работы. В составе:
- доработка конструкции;
- доработка ПО;
- комплектование ТМЦ;
- монтажные работы ПТК и аппарата в целом.
Позиция заменена: С80/master - &gt; G24P/master решением заказчика на преддоговорных переговорах.</t>
  </si>
  <si>
    <t>Позиция - инжиниринговые работы. В составе:
- тестирование;
- доработка ПО.
Позиция заменена: С80/master - &gt; G24P/master решением заказчика на преддоговорных переговорах.</t>
  </si>
  <si>
    <t>Позиция - инжиниринговые работы. В составе:
- выездной консалтинг.
Позиция заменена: С80/master - &gt; G24P/master решением заказчика на преддоговорных переговорах.</t>
  </si>
  <si>
    <t>Инженерный анализ существующей конструкции изделия.
Постаматный вендинговый аппарат, модель Wate Tecnology G24P/master</t>
  </si>
  <si>
    <t>Разработка ТЗ №1 на изделие в целом.
Постаматный вендинговый аппарат, модель Wate Tecnology G24P/master</t>
  </si>
  <si>
    <t>Разработка ТЗ №2 на адаптацию ПТК к данной модели.
Постаматный вендинговый аппарат, модель Wate Tecnology G24P/master</t>
  </si>
  <si>
    <t>Адаптация, комплектование и сборка ПТК в соответствии с ТЗ №2.
Постаматный вендинговый аппарат, модель Wate Tecnology G24P/master</t>
  </si>
  <si>
    <t>Комплексное тестирование аппарата на базе новой системы управления.
Постаматный вендинговый аппарат, модель Wate Tecnology G24P/master</t>
  </si>
  <si>
    <t>Консалтинговые услуги. Выездная приемка комплектующих на территории производител, модель Wate Tecnology G24P/master</t>
  </si>
  <si>
    <t>8/2026-n3-горизонт-ver_1-set_3.701.2-false</t>
  </si>
  <si>
    <t>8/2026-n3-горизонт-ver_1-set_3.703.1-false</t>
  </si>
  <si>
    <t>8/2026-n3-горизонт-ver_1-set_3.101.1-false</t>
  </si>
  <si>
    <t>8/2026-n3-горизонт-ver_1-set_3.101.2-false</t>
  </si>
  <si>
    <t>8/2026-n3-горизонт-ver_1-set_3.101.3-false</t>
  </si>
  <si>
    <t>8/2026-n3-горизонт-ver_1-set_3.102.1-false</t>
  </si>
  <si>
    <t>8/2026-n3-горизонт-ver_1-set_3.103.1-false</t>
  </si>
  <si>
    <t>8/2026-n3-горизонт-ver_1-set_3.501.1-false</t>
  </si>
  <si>
    <t>8/2026-n3-горизонт-ver_1-set_3.501.2-false</t>
  </si>
  <si>
    <t>8/2026-n3-горизонт-ver_1-set_3.501.3-false</t>
  </si>
  <si>
    <t>8/2026-n3-горизонт-ver_1-set_3.502.1-false</t>
  </si>
  <si>
    <t>8/2026-n3-горизонт-ver_1-set_3.503.1-false</t>
  </si>
  <si>
    <t>8/2026-n3-горизонт-ver_1-set_3.701.1-false</t>
  </si>
  <si>
    <t>8/2026-n3-горизонт-ver_1-set_3.701.3-false</t>
  </si>
  <si>
    <t>8/2026-n3-горизонт-ver_1-set_3.702.1-false</t>
  </si>
  <si>
    <t>8/2026-n3-горизонт-ver_1-set_3.104.1-false</t>
  </si>
  <si>
    <t>8/2026-n3-горизонт-ver_1-set_3.504.1-false</t>
  </si>
  <si>
    <t>8/2026-n3-горизонт-ver_1-set_3.704.1-false</t>
  </si>
  <si>
    <t>8/2026-n3-горизонт-ver_2-set_3.501.1-true</t>
  </si>
  <si>
    <t>8/2026-n3-горизонт-ver_2-set_3.501.2-true</t>
  </si>
  <si>
    <t>8/2026-n3-горизонт-ver_2-set_3.501.3-true</t>
  </si>
  <si>
    <t>8/2026-n3-горизонт-ver_2-set_3.502.1-true</t>
  </si>
  <si>
    <t>8/2026-n3-горизонт-ver_2-set_3.503.1-true</t>
  </si>
  <si>
    <t>8/2026-n3-горизонт-ver_2-set_3.701.1-true</t>
  </si>
  <si>
    <t>8/2026-n3-горизонт-ver_2-set_3.701.2-true</t>
  </si>
  <si>
    <t>8/2026-n3-горизонт-ver_2-set_3.701.3-true</t>
  </si>
  <si>
    <t>8/2026-n3-горизонт-ver_2-set_3.702.1-true</t>
  </si>
  <si>
    <t>8/2026-n3-горизонт-ver_2-set_3.703.1-true</t>
  </si>
  <si>
    <t>8/2026-n3-горизонт-ver_2-set_3.504.1-true</t>
  </si>
  <si>
    <t>8/2026-n3-горизонт-ver_2-set_3.704.1-true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</si>
</sst>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 _₽_-;\-* #,##0.00\ _₽_-;_-* &quot;-&quot;??\ _₽_-;_-@_-"/>
  </numFmts>
  <fonts count="25"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
      <sz val="11"/>
      <name val="Calibri"/>
      <family val="2"/>
      <charset val="204"/>
      <scheme val="minor"/>
    </font>
    <font>
      <sz val="10"/>
      <color rgb="FF000000"/>
      <name val="Calibri"/>
      <family val="2"/>
      <charset val="204"/>
    </font>
    <font>
      <sz val="10"/>
      <color rgb="FF00000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theme="8"/>
      </patternFill>
    </fill>
    <fill>
      <patternFill patternType="solid">
        <fgColor theme="1" tint="0.24994659260841701"/>
        <bgColor theme="8"/>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1"/>
      </top>
      <bottom style="medium">
        <color theme="1"/>
      </bottom>
      <diagonal/>
    </border>
    <border>
      <left style="dashed">
        <color auto="1"/>
      </left>
      <right style="dashed">
        <color auto="1"/>
      </right>
      <top style="dashed">
        <color auto="1"/>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ashed">
        <color auto="1"/>
      </left>
      <right style="dashed">
        <color auto="1"/>
      </right>
      <top/>
      <bottom style="dashed">
        <color auto="1"/>
      </bottom>
      <diagonal/>
    </border>
    <border>
      <left style="dashed">
        <color auto="1"/>
      </left>
      <right style="dashed">
        <color auto="1"/>
      </right>
      <top style="dashed">
        <color auto="1"/>
      </top>
      <bottom/>
      <diagonal/>
    </border>
    <border>
      <left style="thin">
        <color auto="1"/>
      </left>
      <right style="thin">
        <color auto="1"/>
      </right>
      <top style="dotted">
        <color auto="1"/>
      </top>
      <bottom style="dott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otted">
        <color auto="1"/>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123">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0" fillId="0" borderId="0" xfId="0" applyAlignment="1">
      <alignment horizontal="left" indent="1"/>
    </xf>
    <xf numFmtId="49" fontId="13" fillId="34" borderId="10" xfId="0" applyNumberFormat="1" applyFont="1" applyFill="1" applyBorder="1" applyAlignment="1">
      <alignment horizontal="center" vertical="top" wrapText="1"/>
    </xf>
    <xf numFmtId="0" fontId="13" fillId="33" borderId="0" xfId="0" applyFont="1" applyFill="1" applyAlignment="1">
      <alignment horizontal="center" vertical="top" wrapText="1"/>
    </xf>
    <xf numFmtId="43" fontId="13" fillId="33" borderId="0" xfId="44" applyFont="1" applyFill="1" applyBorder="1" applyAlignment="1">
      <alignment horizontal="center" vertical="top" wrapText="1"/>
    </xf>
    <xf numFmtId="0" fontId="0" fillId="0" borderId="0" xfId="0" applyAlignment="1">
      <alignment vertical="top"/>
    </xf>
    <xf numFmtId="0" fontId="0" fillId="0" borderId="11" xfId="0" applyBorder="1" applyAlignment="1">
      <alignment horizontal="center" vertical="center"/>
    </xf>
    <xf numFmtId="0" fontId="0" fillId="0" borderId="0" xfId="0" applyAlignment="1">
      <alignmen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49" fontId="20" fillId="0" borderId="0" xfId="0" applyNumberFormat="1" applyFont="1" applyAlignment="1">
      <alignment horizontal="left" vertical="center" wrapText="1" indent="1"/>
    </xf>
    <xf numFmtId="0" fontId="0" fillId="0" borderId="0" xfId="0" applyAlignment="1">
      <alignment horizontal="left" vertical="center" indent="2"/>
    </xf>
    <xf numFmtId="0" fontId="22" fillId="0" borderId="0" xfId="0" applyFont="1"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0" xfId="0" pivotButton="1" applyAlignment="1">
      <alignment vertical="top" wrapText="1"/>
    </xf>
    <xf numFmtId="43" fontId="0" fillId="0" borderId="0" xfId="44" applyFont="1" applyAlignment="1">
      <alignment vertical="top"/>
    </xf>
    <xf numFmtId="0" fontId="0" fillId="0" borderId="12" xfId="0" applyBorder="1" applyAlignment="1">
      <alignment horizontal="center" vertical="center"/>
    </xf>
    <xf numFmtId="49" fontId="0" fillId="0" borderId="13" xfId="0" applyNumberFormat="1" applyBorder="1" applyAlignment="1">
      <alignment wrapText="1"/>
    </xf>
    <xf numFmtId="0" fontId="0" fillId="0" borderId="0" xfId="0" applyAlignment="1">
      <alignment vertical="top" wrapText="1"/>
    </xf>
    <xf numFmtId="49" fontId="0" fillId="0" borderId="14" xfId="0" applyNumberFormat="1" applyBorder="1" applyAlignment="1">
      <alignment horizontal="left" vertical="top" wrapText="1"/>
    </xf>
    <xf numFmtId="0" fontId="0" fillId="0" borderId="11" xfId="0" applyBorder="1"/>
    <xf numFmtId="43" fontId="0" fillId="0" borderId="11" xfId="44" applyFont="1" applyBorder="1"/>
    <xf numFmtId="0" fontId="0" fillId="0" borderId="11" xfId="0" applyBorder="1" applyAlignment="1">
      <alignment horizontal="left" vertical="center" indent="1"/>
    </xf>
    <xf numFmtId="0" fontId="0" fillId="0" borderId="0" xfId="0" pivotButton="1"/>
    <xf numFmtId="0" fontId="0" fillId="0" borderId="0" xfId="0" pivotButton="1" applyAlignment="1">
      <alignment wrapText="1"/>
    </xf>
    <xf numFmtId="0" fontId="0" fillId="0" borderId="0" xfId="0" applyAlignment="1">
      <alignment vertical="center" wrapText="1"/>
    </xf>
    <xf numFmtId="43" fontId="0" fillId="0" borderId="0" xfId="0" applyNumberFormat="1" applyAlignment="1">
      <alignment horizontal="center" wrapText="1"/>
    </xf>
    <xf numFmtId="43" fontId="0" fillId="0" borderId="0" xfId="0" applyNumberFormat="1" applyAlignment="1">
      <alignment horizontal="center"/>
    </xf>
    <xf numFmtId="49" fontId="0" fillId="0" borderId="14" xfId="0" applyNumberFormat="1" applyBorder="1" applyAlignment="1">
      <alignment horizontal="left" vertical="center" indent="1"/>
    </xf>
    <xf numFmtId="0" fontId="0" fillId="0" borderId="11" xfId="0" applyBorder="1" applyAlignment="1">
      <alignment horizontal="left" vertical="top" wrapText="1"/>
    </xf>
    <xf numFmtId="0" fontId="0" fillId="0" borderId="11" xfId="0" applyBorder="1" applyAlignment="1">
      <alignment horizontal="center" vertical="center" wrapText="1"/>
    </xf>
    <xf numFmtId="0" fontId="0" fillId="0" borderId="11" xfId="0" applyBorder="1" applyAlignment="1">
      <alignment vertical="top" wrapText="1"/>
    </xf>
    <xf numFmtId="49" fontId="13" fillId="34" borderId="10" xfId="0" applyNumberFormat="1" applyFont="1" applyFill="1" applyBorder="1" applyAlignment="1">
      <alignment horizontal="center" vertical="center"/>
    </xf>
    <xf numFmtId="43" fontId="0" fillId="0" borderId="0" xfId="0" applyNumberFormat="1"/>
    <xf numFmtId="0" fontId="0" fillId="0" borderId="15" xfId="0" applyBorder="1" applyAlignment="1">
      <alignment horizontal="center" vertical="center"/>
    </xf>
    <xf numFmtId="0" fontId="0" fillId="0" borderId="15" xfId="0" applyBorder="1" applyAlignment="1">
      <alignment horizontal="left" vertical="top" wrapText="1"/>
    </xf>
    <xf numFmtId="0" fontId="0" fillId="0" borderId="15" xfId="0" applyBorder="1" applyAlignment="1">
      <alignment horizontal="center" vertical="center" wrapText="1"/>
    </xf>
    <xf numFmtId="43" fontId="0" fillId="0" borderId="15" xfId="44" applyFont="1" applyBorder="1"/>
    <xf numFmtId="0" fontId="0" fillId="0" borderId="15" xfId="0" applyBorder="1"/>
    <xf numFmtId="0" fontId="0" fillId="0" borderId="15" xfId="0" applyBorder="1" applyAlignment="1">
      <alignment horizontal="left" vertical="center" indent="1"/>
    </xf>
    <xf numFmtId="0" fontId="0" fillId="0" borderId="15" xfId="0" applyBorder="1" applyAlignment="1">
      <alignment vertical="top" wrapText="1"/>
    </xf>
    <xf numFmtId="0" fontId="0" fillId="0" borderId="0" xfId="0" applyAlignment="1">
      <alignment horizontal="center" vertical="center" wrapText="1"/>
    </xf>
    <xf numFmtId="164" fontId="0" fillId="0" borderId="0" xfId="0" applyNumberFormat="1"/>
    <xf numFmtId="0" fontId="20" fillId="0" borderId="0" xfId="0" applyFont="1" applyAlignment="1">
      <alignment vertical="top" wrapText="1"/>
    </xf>
    <xf numFmtId="43" fontId="0" fillId="0" borderId="0" xfId="44" applyFont="1"/>
    <xf numFmtId="0" fontId="0" fillId="0" borderId="16" xfId="0" applyBorder="1" applyAlignment="1">
      <alignment horizontal="center" vertical="center"/>
    </xf>
    <xf numFmtId="0" fontId="0" fillId="0" borderId="16" xfId="0" applyBorder="1" applyAlignment="1">
      <alignment horizontal="left" vertical="top" wrapText="1"/>
    </xf>
    <xf numFmtId="0" fontId="0" fillId="0" borderId="16" xfId="0" applyBorder="1" applyAlignment="1">
      <alignment horizontal="center" vertical="center" wrapText="1"/>
    </xf>
    <xf numFmtId="43" fontId="0" fillId="0" borderId="16" xfId="44" applyFont="1" applyBorder="1"/>
    <xf numFmtId="0" fontId="0" fillId="0" borderId="16" xfId="0" applyBorder="1"/>
    <xf numFmtId="0" fontId="0" fillId="0" borderId="16" xfId="0" applyBorder="1" applyAlignment="1">
      <alignment horizontal="left" vertical="center" indent="1"/>
    </xf>
    <xf numFmtId="0" fontId="0" fillId="0" borderId="16" xfId="0" applyBorder="1" applyAlignment="1">
      <alignment vertical="top" wrapText="1"/>
    </xf>
    <xf numFmtId="1" fontId="0" fillId="0" borderId="17" xfId="0" applyNumberFormat="1" applyBorder="1" applyAlignment="1">
      <alignment horizontal="center" vertical="center"/>
    </xf>
    <xf numFmtId="49" fontId="0" fillId="0" borderId="17" xfId="0" applyNumberFormat="1" applyBorder="1" applyAlignment="1">
      <alignment horizontal="left" vertical="center"/>
    </xf>
    <xf numFmtId="49" fontId="0" fillId="0" borderId="17" xfId="0" applyNumberFormat="1" applyBorder="1" applyAlignment="1">
      <alignment horizontal="left" vertical="top" wrapText="1"/>
    </xf>
    <xf numFmtId="0" fontId="0" fillId="0" borderId="17" xfId="0" applyBorder="1" applyAlignment="1">
      <alignment horizontal="center" vertical="center"/>
    </xf>
    <xf numFmtId="49" fontId="0" fillId="0" borderId="17" xfId="0" applyNumberFormat="1" applyBorder="1" applyAlignment="1">
      <alignment horizontal="center" vertical="center" wrapText="1"/>
    </xf>
    <xf numFmtId="0" fontId="0" fillId="0" borderId="17" xfId="0" applyBorder="1" applyAlignment="1">
      <alignment horizontal="left" vertical="center"/>
    </xf>
    <xf numFmtId="49" fontId="0" fillId="0" borderId="17" xfId="0" applyNumberFormat="1" applyBorder="1" applyAlignment="1">
      <alignment horizontal="left" vertical="top" wrapText="1" indent="1"/>
    </xf>
    <xf numFmtId="49" fontId="0" fillId="0" borderId="17" xfId="0" applyNumberFormat="1" applyBorder="1" applyAlignment="1">
      <alignment horizontal="center" vertical="center"/>
    </xf>
    <xf numFmtId="43" fontId="0" fillId="0" borderId="17" xfId="12" applyNumberFormat="1" applyFont="1" applyFill="1" applyBorder="1" applyAlignment="1">
      <alignment horizontal="center" wrapText="1"/>
    </xf>
    <xf numFmtId="2" fontId="0" fillId="0" borderId="17" xfId="12" applyNumberFormat="1" applyFont="1" applyFill="1" applyBorder="1" applyAlignment="1">
      <alignment horizontal="center" wrapText="1"/>
    </xf>
    <xf numFmtId="49" fontId="0" fillId="0" borderId="17" xfId="12" applyNumberFormat="1" applyFont="1" applyFill="1" applyBorder="1" applyAlignment="1">
      <alignment horizontal="left" vertical="center" wrapText="1" indent="1"/>
    </xf>
    <xf numFmtId="0" fontId="23" fillId="0" borderId="17" xfId="0" applyFont="1" applyBorder="1" applyAlignment="1">
      <alignment vertical="top" wrapText="1"/>
    </xf>
    <xf numFmtId="0" fontId="0" fillId="0" borderId="17" xfId="0" applyBorder="1" applyAlignment="1">
      <alignment horizontal="left" vertical="top" wrapText="1"/>
    </xf>
    <xf numFmtId="0" fontId="24" fillId="0" borderId="17" xfId="0" applyFont="1" applyBorder="1" applyAlignment="1">
      <alignment vertical="top" wrapText="1"/>
    </xf>
    <xf numFmtId="43" fontId="0" fillId="0" borderId="17" xfId="44" applyFont="1" applyFill="1" applyBorder="1" applyAlignment="1">
      <alignment horizontal="right" wrapText="1"/>
    </xf>
    <xf numFmtId="43" fontId="0" fillId="0" borderId="17" xfId="44" applyFont="1" applyBorder="1" applyAlignment="1">
      <alignment horizontal="right" wrapText="1"/>
    </xf>
    <xf numFmtId="43" fontId="0" fillId="0" borderId="17" xfId="12" applyNumberFormat="1" applyFont="1" applyBorder="1" applyAlignment="1">
      <alignment horizontal="center" wrapText="1"/>
    </xf>
    <xf numFmtId="49" fontId="0" fillId="0" borderId="17" xfId="12" applyNumberFormat="1" applyFont="1" applyBorder="1" applyAlignment="1">
      <alignment horizontal="left" vertical="center" wrapText="1" indent="1"/>
    </xf>
    <xf numFmtId="43" fontId="0" fillId="0" borderId="17" xfId="44" applyFont="1" applyFill="1" applyBorder="1" applyAlignment="1">
      <alignment horizontal="center" wrapText="1"/>
    </xf>
    <xf numFmtId="2" fontId="0" fillId="0" borderId="17" xfId="12" applyNumberFormat="1" applyFont="1" applyFill="1" applyBorder="1" applyAlignment="1">
      <alignment horizontal="right" wrapText="1"/>
    </xf>
    <xf numFmtId="0" fontId="0" fillId="0" borderId="18" xfId="0" applyBorder="1" applyAlignment="1">
      <alignment horizontal="left" vertical="center"/>
    </xf>
    <xf numFmtId="43" fontId="0" fillId="0" borderId="18" xfId="44" applyFont="1" applyBorder="1" applyAlignment="1">
      <alignment horizontal="right"/>
    </xf>
    <xf numFmtId="43" fontId="0" fillId="0" borderId="18" xfId="44" applyFont="1" applyFill="1" applyBorder="1" applyAlignment="1">
      <alignment horizontal="right"/>
    </xf>
    <xf numFmtId="2" fontId="0" fillId="0" borderId="18" xfId="44" applyNumberFormat="1" applyFont="1" applyFill="1" applyBorder="1"/>
    <xf numFmtId="0" fontId="0" fillId="0" borderId="18" xfId="0" applyBorder="1"/>
    <xf numFmtId="2" fontId="0" fillId="0" borderId="18" xfId="0" applyNumberFormat="1" applyBorder="1"/>
    <xf numFmtId="43" fontId="0" fillId="0" borderId="18" xfId="44" applyFont="1" applyBorder="1"/>
    <xf numFmtId="43" fontId="16" fillId="0" borderId="18" xfId="0" applyNumberFormat="1" applyFont="1" applyBorder="1"/>
    <xf numFmtId="43" fontId="0" fillId="0" borderId="18" xfId="0" applyNumberFormat="1" applyBorder="1"/>
    <xf numFmtId="1" fontId="0" fillId="0" borderId="18" xfId="0" applyNumberFormat="1"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wrapText="1"/>
    </xf>
    <xf numFmtId="4" fontId="0" fillId="0" borderId="18" xfId="0" applyNumberFormat="1" applyBorder="1"/>
    <xf numFmtId="43" fontId="0" fillId="0" borderId="18" xfId="44" applyFont="1" applyFill="1" applyBorder="1"/>
    <xf numFmtId="0" fontId="0" fillId="0" borderId="18" xfId="0" applyBorder="1" applyAlignment="1">
      <alignment horizontal="right"/>
    </xf>
    <xf numFmtId="0" fontId="0" fillId="0" borderId="17" xfId="0" applyBorder="1" applyAlignment="1">
      <alignment horizontal="center" vertical="center" wrapText="1"/>
    </xf>
    <xf numFmtId="1" fontId="0" fillId="0" borderId="19" xfId="0" applyNumberFormat="1" applyBorder="1" applyAlignment="1">
      <alignment horizontal="center" vertical="center"/>
    </xf>
    <xf numFmtId="49" fontId="0" fillId="0" borderId="19" xfId="0" applyNumberFormat="1" applyBorder="1" applyAlignment="1">
      <alignment horizontal="left" vertical="center"/>
    </xf>
    <xf numFmtId="49" fontId="0" fillId="0" borderId="19" xfId="0" applyNumberFormat="1" applyBorder="1" applyAlignment="1">
      <alignment horizontal="left" vertical="top" wrapText="1"/>
    </xf>
    <xf numFmtId="0" fontId="0" fillId="0" borderId="19" xfId="0" applyBorder="1" applyAlignment="1">
      <alignment horizontal="center" vertical="center"/>
    </xf>
    <xf numFmtId="49" fontId="0" fillId="0" borderId="19" xfId="0" applyNumberFormat="1" applyBorder="1" applyAlignment="1">
      <alignment horizontal="center" vertical="center" wrapText="1"/>
    </xf>
    <xf numFmtId="0" fontId="0" fillId="0" borderId="19" xfId="0" applyBorder="1" applyAlignment="1">
      <alignment horizontal="left" vertical="center"/>
    </xf>
    <xf numFmtId="49" fontId="0" fillId="0" borderId="19" xfId="0" applyNumberFormat="1" applyBorder="1" applyAlignment="1">
      <alignment horizontal="center" vertical="center"/>
    </xf>
    <xf numFmtId="43" fontId="0" fillId="0" borderId="19" xfId="12" applyNumberFormat="1" applyFont="1" applyFill="1" applyBorder="1" applyAlignment="1">
      <alignment horizontal="center" wrapText="1"/>
    </xf>
    <xf numFmtId="2" fontId="0" fillId="0" borderId="19" xfId="12" applyNumberFormat="1" applyFont="1" applyFill="1" applyBorder="1" applyAlignment="1">
      <alignment horizontal="center" wrapText="1"/>
    </xf>
    <xf numFmtId="49" fontId="0" fillId="0" borderId="17" xfId="12" applyNumberFormat="1" applyFont="1" applyFill="1" applyBorder="1" applyAlignment="1">
      <alignment horizontal="left" vertical="center" wrapText="1" indent="2"/>
    </xf>
    <xf numFmtId="49" fontId="0" fillId="0" borderId="19" xfId="12" applyNumberFormat="1" applyFont="1" applyFill="1" applyBorder="1" applyAlignment="1">
      <alignment horizontal="left" vertical="center" wrapText="1" indent="2"/>
    </xf>
    <xf numFmtId="49" fontId="24" fillId="0" borderId="17" xfId="0" applyNumberFormat="1" applyFont="1" applyBorder="1" applyAlignment="1">
      <alignment horizontal="left" vertical="top" wrapText="1" indent="1"/>
    </xf>
    <xf numFmtId="49" fontId="24" fillId="0" borderId="19" xfId="0" applyNumberFormat="1" applyFont="1" applyBorder="1" applyAlignment="1">
      <alignment horizontal="left" vertical="top" wrapText="1" indent="1"/>
    </xf>
    <xf numFmtId="49" fontId="0" fillId="0" borderId="19" xfId="0" applyNumberFormat="1" applyBorder="1" applyAlignment="1">
      <alignment horizontal="left" vertical="top" wrapText="1" indent="1"/>
    </xf>
    <xf numFmtId="49" fontId="0" fillId="0" borderId="19" xfId="12" applyNumberFormat="1" applyFont="1" applyFill="1" applyBorder="1" applyAlignment="1">
      <alignment horizontal="left" vertical="center" wrapText="1" indent="1"/>
    </xf>
    <xf numFmtId="43" fontId="0" fillId="0" borderId="18" xfId="44" applyFont="1" applyFill="1" applyBorder="1" applyAlignment="1">
      <alignment horizontal="left" vertical="center" indent="1"/>
    </xf>
    <xf numFmtId="43" fontId="0" fillId="0" borderId="18" xfId="44" applyFont="1" applyFill="1" applyBorder="1" applyAlignment="1">
      <alignment horizontal="left" vertical="center" indent="2"/>
    </xf>
    <xf numFmtId="2" fontId="16" fillId="0" borderId="18" xfId="0" applyNumberFormat="1" applyFont="1" applyBorder="1"/>
    <xf numFmtId="43" fontId="0" fillId="0" borderId="18" xfId="44" applyFont="1" applyFill="1" applyBorder="1" applyAlignment="1">
      <alignment horizontal="left" vertical="center" indent="3"/>
    </xf>
    <xf numFmtId="1" fontId="0" fillId="0" borderId="0" xfId="0" applyNumberFormat="1" applyAlignment="1">
      <alignment horizontal="center" vertical="center"/>
    </xf>
    <xf numFmtId="1" fontId="13" fillId="33" borderId="0" xfId="0" applyNumberFormat="1" applyFont="1" applyFill="1" applyAlignment="1">
      <alignment horizontal="center" vertical="top" wrapText="1"/>
    </xf>
    <xf numFmtId="4" fontId="0" fillId="0" borderId="0" xfId="0" applyNumberFormat="1"/>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290">
    <dxf>
      <alignment horizontal="general"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charset val="204"/>
        <scheme val="minor"/>
      </font>
    </dxf>
    <dxf>
      <border diagonalUp="0" diagonalDown="0">
        <left style="dashed">
          <color auto="1"/>
        </left>
        <right style="dashed">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charset val="204"/>
        <scheme val="minor"/>
      </font>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alignment horizontal="left" vertical="center" textRotation="0" wrapText="0" indent="1"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charset val="204"/>
        <scheme val="minor"/>
      </font>
    </dxf>
    <dxf>
      <border diagonalUp="0" diagonalDown="0">
        <left style="dashed">
          <color auto="1"/>
        </left>
        <right style="dashed">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charset val="204"/>
        <scheme val="minor"/>
      </font>
    </dxf>
    <dxf>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fill>
        <patternFill>
          <bgColor rgb="FFFF0000"/>
        </patternFill>
      </fill>
    </dxf>
    <dxf>
      <fill>
        <patternFill>
          <bgColor rgb="FF92D050"/>
        </patternFill>
      </fill>
    </dxf>
    <dxf>
      <fill>
        <patternFill>
          <bgColor rgb="FF92D050"/>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theme="7" tint="0.59996337778862885"/>
        </patternFill>
      </fill>
    </dxf>
    <dxf>
      <fill>
        <patternFill patternType="solid">
          <fgColor indexed="64"/>
          <bgColor rgb="FFC9A6E4"/>
        </patternFill>
      </fill>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numFmt numFmtId="0" formatCode="General"/>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numFmt numFmtId="0" formatCode="General"/>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center" textRotation="0" wrapText="0" indent="0" justifyLastLine="0" shrinkToFit="0" readingOrder="0"/>
    </dxf>
    <dxf>
      <alignment horizontal="center" vertical="top" textRotation="0" wrapText="0" indent="0" justifyLastLine="0" shrinkToFit="0" readingOrder="0"/>
    </dxf>
    <dxf>
      <numFmt numFmtId="35" formatCode="_-* #,##0.00_-;\-* #,##0.00_-;_-* &quot;-&quot;??_-;_-@_-"/>
    </dxf>
    <dxf>
      <alignment vertical="bottom"/>
    </dxf>
    <dxf>
      <alignment vertical="bottom"/>
    </dxf>
    <dxf>
      <alignment vertical="center"/>
    </dxf>
    <dxf>
      <alignment horizontal="general" indent="0"/>
    </dxf>
    <dxf>
      <alignment vertical="top"/>
    </dxf>
    <dxf>
      <alignment vertical="top"/>
    </dxf>
    <dxf>
      <alignment vertical="top"/>
    </dxf>
    <dxf>
      <alignment wrapText="1"/>
    </dxf>
    <dxf>
      <alignment wrapText="1"/>
    </dxf>
    <dxf>
      <alignment wrapText="1"/>
    </dxf>
    <dxf>
      <alignment wrapText="1"/>
    </dxf>
    <dxf>
      <alignment horizontal="general" indent="0"/>
    </dxf>
    <dxf>
      <alignment horizontal="general" indent="0"/>
    </dxf>
    <dxf>
      <alignment horizontal="general" indent="0"/>
    </dxf>
    <dxf>
      <alignment vertical="top"/>
    </dxf>
    <dxf>
      <alignment vertical="center"/>
    </dxf>
    <dxf>
      <numFmt numFmtId="35" formatCode="_-* #,##0.00_-;\-* #,##0.00_-;_-* &quot;-&quot;??_-;_-@_-"/>
    </dxf>
    <dxf>
      <alignment vertical="top"/>
    </dxf>
    <dxf>
      <alignment horizontal="center"/>
    </dxf>
    <dxf>
      <alignment horizontal="general"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wrapText="1"/>
    </dxf>
    <dxf>
      <alignment wrapText="1"/>
    </dxf>
    <dxf>
      <numFmt numFmtId="35" formatCode="_-* #,##0.00_-;\-* #,##0.00_-;_-* &quot;-&quot;??_-;_-@_-"/>
    </dxf>
    <dxf>
      <alignment vertical="top"/>
    </dxf>
    <dxf>
      <alignment wrapText="1"/>
    </dxf>
    <dxf>
      <alignment horizontal="general" vertical="top" textRotation="0" wrapText="1"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border diagonalUp="0" diagonalDown="0" outline="0">
        <left style="dashed">
          <color auto="1"/>
        </left>
        <right style="dashed">
          <color auto="1"/>
        </right>
        <top/>
        <bottom/>
      </border>
    </dxf>
    <dxf>
      <numFmt numFmtId="35" formatCode="_-* #,##0.00_-;\-* #,##0.00_-;_-* &quot;-&quot;??_-;_-@_-"/>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alignment horizontal="left" vertical="center" textRotation="0" wrapText="0" indent="1" justifyLastLine="0" shrinkToFit="0" readingOrder="0"/>
      <border diagonalUp="0" diagonalDown="0" outline="0">
        <left style="dashed">
          <color auto="1"/>
        </left>
        <right style="dashed">
          <color auto="1"/>
        </right>
        <top/>
        <bottom/>
      </border>
    </dxf>
    <dxf>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1"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top" textRotation="0" wrapText="1" indent="0" justifyLastLine="0" shrinkToFit="0" readingOrder="0"/>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1" indent="1"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0" formatCode="@"/>
      <fill>
        <patternFill patternType="none">
          <fgColor indexed="64"/>
          <bgColor auto="1"/>
        </patternFill>
      </fill>
      <alignment horizontal="left" vertical="center" textRotation="0" wrapText="1" relativeIndent="1"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alignment horizontal="center" vertical="bottom" textRotation="0" wrapText="1"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left" vertical="top" textRotation="0" wrapText="1" indent="1"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1"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30" formatCode="@"/>
      <alignment horizontal="left" vertical="center" textRotation="0" wrapText="0" indent="0" justifyLastLine="0" shrinkToFit="0" readingOrder="0"/>
      <border diagonalUp="0" diagonalDown="0">
        <left style="thin">
          <color indexed="64"/>
        </left>
        <right style="thin">
          <color indexed="64"/>
        </right>
        <top style="dotted">
          <color indexed="64"/>
        </top>
        <bottom style="dotted">
          <color indexed="64"/>
        </bottom>
        <vertical style="thin">
          <color indexed="64"/>
        </vertical>
        <horizontal style="dotted">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outline="0">
        <left style="thin">
          <color auto="1"/>
        </left>
        <right style="thin">
          <color indexed="64"/>
        </right>
        <top style="dotted">
          <color indexed="64"/>
        </top>
        <bottom style="dotted">
          <color indexed="64"/>
        </bottom>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dotted">
          <color indexed="64"/>
        </top>
        <bottom style="dotted">
          <color indexed="64"/>
        </bottom>
      </border>
    </dxf>
    <dxf>
      <alignment horizontal="left" vertical="top" textRotation="0" wrapText="1" indent="0" justifyLastLine="0" shrinkToFit="0" readingOrder="0"/>
    </dxf>
    <dxf>
      <numFmt numFmtId="30" formatCode="@"/>
      <alignment horizontal="center" vertical="top" textRotation="0" wrapText="1" indent="0" justifyLastLine="0" shrinkToFit="0" readingOrder="0"/>
    </dxf>
    <dxf>
      <border diagonalUp="0" diagonalDown="0" outline="0">
        <left style="dashed">
          <color auto="1"/>
        </left>
        <right style="dashed">
          <color auto="1"/>
        </right>
        <top/>
        <bottom/>
      </border>
    </dxf>
    <dxf>
      <fill>
        <patternFill patternType="none">
          <bgColor auto="1"/>
        </patternFill>
      </fill>
      <alignment horizontal="general" vertical="bottom" textRotation="0" wrapText="1"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numFmt numFmtId="1" formatCode="0"/>
      <border diagonalUp="0" diagonalDown="0" outline="0">
        <left style="dashed">
          <color auto="1"/>
        </left>
        <right style="dashed">
          <color auto="1"/>
        </right>
        <top/>
        <bottom/>
      </border>
    </dxf>
    <dxf>
      <numFmt numFmtId="2" formatCode="0.00"/>
      <fill>
        <patternFill patternType="none">
          <bgColor auto="1"/>
        </patternFill>
      </fill>
      <border diagonalUp="0" diagonalDown="0">
        <left style="thin">
          <color auto="1"/>
        </left>
        <right style="thin">
          <color auto="1"/>
        </right>
        <top style="dashed">
          <color auto="1"/>
        </top>
        <bottom style="dashed">
          <color auto="1"/>
        </bottom>
        <vertical style="thin">
          <color auto="1"/>
        </vertical>
        <horizontal style="dashed">
          <color auto="1"/>
        </horizontal>
      </border>
    </dxf>
    <dxf>
      <numFmt numFmtId="35" formatCode="_-* #,##0.00_-;\-* #,##0.00_-;_-* &quot;-&quot;??_-;_-@_-"/>
    </dxf>
    <dxf>
      <font>
        <b/>
      </font>
      <numFmt numFmtId="2" formatCode="0.00"/>
      <border diagonalUp="0" diagonalDown="0">
        <left style="thin">
          <color auto="1"/>
        </left>
        <right style="thin">
          <color auto="1"/>
        </right>
        <top style="dashed">
          <color auto="1"/>
        </top>
        <bottom style="dashed">
          <color auto="1"/>
        </bottom>
        <vertical style="thin">
          <color auto="1"/>
        </vertical>
        <horizontal style="dashed">
          <color auto="1"/>
        </horizontal>
      </border>
    </dxf>
    <dxf>
      <numFmt numFmtId="35" formatCode="_-* #,##0.00_-;\-* #,##0.00_-;_-* &quot;-&quot;??_-;_-@_-"/>
    </dxf>
    <dxf>
      <numFmt numFmtId="2" formatCode="0.00"/>
      <border diagonalUp="0" diagonalDown="0">
        <left style="thin">
          <color auto="1"/>
        </left>
        <right style="thin">
          <color auto="1"/>
        </right>
        <top style="dashed">
          <color auto="1"/>
        </top>
        <bottom style="dashed">
          <color auto="1"/>
        </bottom>
        <vertical style="thin">
          <color auto="1"/>
        </vertical>
        <horizontal style="dashed">
          <color auto="1"/>
        </horizontal>
      </border>
    </dxf>
    <dxf>
      <numFmt numFmtId="35" formatCode="_-* #,##0.00_-;\-* #,##0.00_-;_-* &quot;-&quot;??_-;_-@_-"/>
    </dxf>
    <dxf>
      <font>
        <b/>
      </font>
      <numFmt numFmtId="35" formatCode="_-* #,##0.00_-;\-* #,##0.00_-;_-* &quot;-&quot;??_-;_-@_-"/>
      <fill>
        <patternFill patternType="none">
          <bgColor auto="1"/>
        </patternFill>
      </fill>
      <border diagonalUp="0" diagonalDown="0">
        <left style="thin">
          <color auto="1"/>
        </left>
        <right style="thin">
          <color auto="1"/>
        </right>
        <top style="dashed">
          <color auto="1"/>
        </top>
        <bottom style="dashed">
          <color auto="1"/>
        </bottom>
        <vertical style="thin">
          <color auto="1"/>
        </vertical>
        <horizontal style="dashed">
          <color auto="1"/>
        </horizontal>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left style="thin">
          <color auto="1"/>
        </left>
        <right style="thin">
          <color auto="1"/>
        </right>
        <top style="dashed">
          <color auto="1"/>
        </top>
        <bottom style="dashed">
          <color auto="1"/>
        </bottom>
        <vertical style="thin">
          <color auto="1"/>
        </vertical>
        <horizontal style="dashed">
          <color auto="1"/>
        </horizontal>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left style="thin">
          <color auto="1"/>
        </left>
        <right style="thin">
          <color auto="1"/>
        </right>
        <top style="dashed">
          <color auto="1"/>
        </top>
        <bottom style="dashed">
          <color auto="1"/>
        </bottom>
        <vertical style="thin">
          <color auto="1"/>
        </vertical>
        <horizontal style="dashed">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thin">
          <color auto="1"/>
        </left>
        <right style="thin">
          <color auto="1"/>
        </right>
        <top style="dashed">
          <color auto="1"/>
        </top>
        <bottom style="dashed">
          <color auto="1"/>
        </bottom>
        <vertical style="thin">
          <color auto="1"/>
        </vertical>
        <horizontal style="dashed">
          <color auto="1"/>
        </horizontal>
      </border>
    </dxf>
    <dxf>
      <border diagonalUp="0" diagonalDown="0" outline="0">
        <left style="dashed">
          <color auto="1"/>
        </left>
        <right style="dashed">
          <color auto="1"/>
        </right>
        <top/>
        <bottom/>
      </border>
    </dxf>
    <dxf>
      <numFmt numFmtId="2" formatCode="0.00"/>
      <border diagonalUp="0" diagonalDown="0">
        <left style="thin">
          <color auto="1"/>
        </left>
        <right style="thin">
          <color auto="1"/>
        </right>
        <top style="dashed">
          <color auto="1"/>
        </top>
        <bottom style="dashed">
          <color auto="1"/>
        </bottom>
        <vertical style="thin">
          <color auto="1"/>
        </vertical>
        <horizontal style="dashed">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thin">
          <color auto="1"/>
        </left>
        <right style="thin">
          <color auto="1"/>
        </right>
        <top style="dashed">
          <color auto="1"/>
        </top>
        <bottom style="dashed">
          <color auto="1"/>
        </bottom>
        <vertical style="thin">
          <color auto="1"/>
        </vertical>
        <horizontal style="dashed">
          <color auto="1"/>
        </horizontal>
      </border>
    </dxf>
    <dxf>
      <border diagonalUp="0" diagonalDown="0" outline="0">
        <left style="dashed">
          <color auto="1"/>
        </left>
        <right style="dashed">
          <color auto="1"/>
        </right>
        <top/>
        <bottom/>
      </border>
    </dxf>
    <dxf>
      <numFmt numFmtId="2" formatCode="0.00"/>
      <fill>
        <patternFill patternType="none">
          <fgColor indexed="64"/>
          <bgColor indexed="65"/>
        </patternFill>
      </fill>
      <border diagonalUp="0" diagonalDown="0">
        <left style="thin">
          <color auto="1"/>
        </left>
        <right style="thin">
          <color auto="1"/>
        </right>
        <top style="dashed">
          <color auto="1"/>
        </top>
        <bottom style="dashed">
          <color auto="1"/>
        </bottom>
        <vertical/>
        <horizontal/>
      </border>
    </dxf>
    <dxf>
      <border diagonalUp="0" diagonalDown="0" outline="0">
        <left style="dashed">
          <color auto="1"/>
        </left>
        <right style="dashed">
          <color auto="1"/>
        </right>
        <top/>
        <bottom/>
      </border>
    </dxf>
    <dxf>
      <fill>
        <patternFill patternType="none">
          <bgColor auto="1"/>
        </patternFill>
      </fill>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horizontal="right" vertical="bottom"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horizontal="right" vertical="bottom" textRotation="0" wrapText="0" indent="0" justifyLastLine="0" shrinkToFit="0" readingOrder="0"/>
      <border diagonalUp="0" diagonalDown="0" outline="0">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numFmt numFmtId="2" formatCode="0.00"/>
      <alignment horizontal="left" vertical="center" textRotation="0" wrapText="0" indent="1" justifyLastLine="0" shrinkToFit="0" readingOrder="0"/>
      <border diagonalUp="0" diagonalDown="0" outline="0">
        <left style="dashed">
          <color auto="1"/>
        </left>
        <right style="dashed">
          <color auto="1"/>
        </right>
        <top/>
        <bottom/>
      </border>
    </dxf>
    <dxf>
      <fill>
        <patternFill patternType="none">
          <bgColor auto="1"/>
        </patternFill>
      </fill>
      <alignment horizontal="left" vertical="center" textRotation="0" wrapText="0" relativeIndent="1"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fill>
        <patternFill patternType="none">
          <bgColor auto="1"/>
        </patternFill>
      </fill>
    </dxf>
    <dxf>
      <font>
        <b/>
        <i val="0"/>
        <strike val="0"/>
        <condense val="0"/>
        <extend val="0"/>
        <outline val="0"/>
        <shadow val="0"/>
        <u val="none"/>
        <vertAlign val="baseline"/>
        <sz val="11"/>
        <color theme="0"/>
        <name val="Calibri"/>
        <family val="2"/>
        <charset val="204"/>
        <scheme val="minor"/>
      </font>
      <fill>
        <patternFill patternType="solid">
          <fgColor theme="8"/>
          <bgColor theme="8"/>
        </patternFill>
      </fill>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289"/>
      <tableStyleElement type="totalRow" dxfId="288"/>
      <tableStyleElement type="secondRowStripe" dxfId="287"/>
    </tableStyle>
  </tableStyles>
  <colors>
    <mruColors>
      <color rgb="FFF5B487"/>
      <color rgb="FFF47B5E"/>
      <color rgb="FFF25F3C"/>
      <color rgb="FFC9A6E4"/>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theme" Target="theme/theme1.xml"/><Relationship Id="rId17" Type="http://schemas.microsoft.com/office/2017/10/relationships/person" Target="persons/person.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ndrey.malyavin" refreshedDate="45971.602244791669" backgroundQuery="1" createdVersion="8" refreshedVersion="8" minRefreshableVersion="3" recordCount="0" supportSubquery="1" supportAdvancedDrill="1" xr:uid="{B4C9610A-0905-469A-A180-90E1F6157402}">
  <cacheSource type="external" connectionId="1"/>
  <cacheFields count="8">
    <cacheField name="[TabSpecificationWork_1].[DESCRIPTION SET].[DESCRIPTION SET]" caption="DESCRIPTION SET" numFmtId="0" hierarchy="5" level="1">
      <sharedItems count="5">
        <s v="Комплект активного сетевого оборудования"/>
        <s v="Комплект модулей для активного сетевого оборудования"/>
        <s v="Комплект активного сетевого оборудования с монтажным комплектом" u="1"/>
        <s v="Комплект пассивного сетевого оборудования" u="1"/>
        <s v="Комплект серверного оборудования для формирования ПТК" u="1"/>
      </sharedItems>
    </cacheField>
    <cacheField name="[TabSpecificationWork_1].[NUM PROJECT].[NUM PROJECT]" caption="NUM PROJECT" numFmtId="0" hierarchy="2" level="1">
      <sharedItems containsSemiMixedTypes="0" containsNonDate="0" containsString="0"/>
    </cacheField>
    <cacheField name="[Measures].[Сумма по столбцу COST PRICE $PURCHASE]" caption="Сумма по столбцу COST PRICE $PURCHASE" numFmtId="0" hierarchy="53" level="32767"/>
    <cacheField name="[TabSpecificationWork_1].[NAME PRODUCT].[NAME PRODUCT]" caption="NAME PRODUCT" numFmtId="0" hierarchy="11" level="1">
      <sharedItems count="12">
        <s v="Коммутатор Huawei S6730-H48X6C"/>
        <s v="Коммутатор L3, OS3228"/>
        <s v="Сетевая карта LR-Link OCP 3.0 2 порта 100G QSFP28 LRES3026PF-OCP"/>
        <s v="Модуль 100G QSFP28 AOC, дальность до 3м"/>
        <s v="Модуль SFP LX 20км (14dB)"/>
        <s v="Модуль SFP с интерфейсом RJ45, до 100м"/>
        <s v="Модуль SFP+ оптический, дальность до 2км (9dB), 1310нм"/>
        <s v="Оптический кросс 19&quot; 1U 16 портов" u="1"/>
        <s v="Патч-корд оптический FC-LC-SM duplex" u="1"/>
        <s v="Сервер Gigabyte двухсокетный Application, 2U" u="1"/>
        <s v="Сервер Gigabyte двухсокетный DBMS, 2U" u="1"/>
        <s v="DEM-432XT" u="1"/>
      </sharedItems>
    </cacheField>
    <cacheField name="[Measures].[Сумма по столбцу COST $TOTAL]" caption="Сумма по столбцу COST $TOTAL" numFmtId="0" hierarchy="55" level="32767"/>
    <cacheField name="[TabSpecificationWork_1].[isSHIPPED].[isSHIPPED]" caption="isSHIPPED" numFmtId="0" hierarchy="9" level="1">
      <sharedItems containsSemiMixedTypes="0" containsNonDate="0" containsString="0"/>
    </cacheField>
    <cacheField name="[Measures].[Сумма по столбцу QUANTITY TOTAL]" caption="Сумма по столбцу QUANTITY TOTAL" numFmtId="0" hierarchy="51" level="32767"/>
    <cacheField name="[TabSpecificationWork_1].[NUM FULL SET].[NUM FULL SET]" caption="NUM FULL SET" numFmtId="0" hierarchy="8" level="1">
      <sharedItems containsSemiMixedTypes="0" containsNonDate="0" containsString="0"/>
    </cacheField>
  </cacheFields>
  <cacheHierarchies count="61">
    <cacheHierarchy uniqueName="[TabSpecificationWork_1].[IDnum]" caption="IDnum" attribute="1" defaultMemberUniqueName="[TabSpecificationWork_1].[IDnum].[All]" allUniqueName="[TabSpecificationWork_1].[IDnum].[All]" dimensionUniqueName="[TabSpecificationWork_1]" displayFolder="" count="0" memberValueDatatype="20" unbalanced="0"/>
    <cacheHierarchy uniqueName="[TabSpecificationWork_1].[IDsource]" caption="IDsource" attribute="1" defaultMemberUniqueName="[TabSpecificationWork_1].[IDsource].[All]" allUniqueName="[TabSpecificationWork_1].[IDsource].[All]" dimensionUniqueName="[TabSpecificationWork_1]" displayFolder="" count="0" memberValueDatatype="20" unbalanced="0"/>
    <cacheHierarchy uniqueName="[TabSpecificationWork_1].[NUM PROJECT]" caption="NUM PROJECT" attribute="1" defaultMemberUniqueName="[TabSpecificationWork_1].[NUM PROJECT].[All]" allUniqueName="[TabSpecificationWork_1].[NUM PROJECT].[All]" dimensionUniqueName="[TabSpecificationWork_1]" displayFolder="" count="2" memberValueDatatype="130" unbalanced="0">
      <fieldsUsage count="2">
        <fieldUsage x="-1"/>
        <fieldUsage x="1"/>
      </fieldsUsage>
    </cacheHierarchy>
    <cacheHierarchy uniqueName="[TabSpecificationWork_1].[NUM ORDER]" caption="NUM ORDER" attribute="1" defaultMemberUniqueName="[TabSpecificationWork_1].[NUM ORDER].[All]" allUniqueName="[TabSpecificationWork_1].[NUM ORDER].[All]" dimensionUniqueName="[TabSpecificationWork_1]" displayFolder="" count="0" memberValueDatatype="130" unbalanced="0"/>
    <cacheHierarchy uniqueName="[TabSpecificationWork_1].[VER COLLECTION]" caption="VER COLLECTION" attribute="1" defaultMemberUniqueName="[TabSpecificationWork_1].[VER COLLECTION].[All]" allUniqueName="[TabSpecificationWork_1].[VER COLLECTION].[All]" dimensionUniqueName="[TabSpecificationWork_1]" displayFolder="" count="0" memberValueDatatype="20" unbalanced="0"/>
    <cacheHierarchy uniqueName="[TabSpecificationWork_1].[DESCRIPTION SET]" caption="DESCRIPTION SET" attribute="1" defaultMemberUniqueName="[TabSpecificationWork_1].[DESCRIPTION SET].[All]" allUniqueName="[TabSpecificationWork_1].[DESCRIPTION SET].[All]" dimensionUniqueName="[TabSpecificationWork_1]" displayFolder="" count="2" memberValueDatatype="130" unbalanced="0">
      <fieldsUsage count="2">
        <fieldUsage x="-1"/>
        <fieldUsage x="0"/>
      </fieldsUsage>
    </cacheHierarchy>
    <cacheHierarchy uniqueName="[TabSpecificationWork_1].[IDset]" caption="IDset" attribute="1" defaultMemberUniqueName="[TabSpecificationWork_1].[IDset].[All]" allUniqueName="[TabSpecificationWork_1].[IDset].[All]" dimensionUniqueName="[TabSpecificationWork_1]" displayFolder="" count="0" memberValueDatatype="20" unbalanced="0"/>
    <cacheHierarchy uniqueName="[TabSpecificationWork_1].[NUM SEQUENCE SET]" caption="NUM SEQUENCE SET" attribute="1" defaultMemberUniqueName="[TabSpecificationWork_1].[NUM SEQUENCE SET].[All]" allUniqueName="[TabSpecificationWork_1].[NUM SEQUENCE SET].[All]" dimensionUniqueName="[TabSpecificationWork_1]" displayFolder="" count="0" memberValueDatatype="20" unbalanced="0"/>
    <cacheHierarchy uniqueName="[TabSpecificationWork_1].[NUM FULL SET]" caption="NUM FULL SET" attribute="1" defaultMemberUniqueName="[TabSpecificationWork_1].[NUM FULL SET].[All]" allUniqueName="[TabSpecificationWork_1].[NUM FULL SET].[All]" dimensionUniqueName="[TabSpecificationWork_1]" displayFolder="" count="2" memberValueDatatype="130" unbalanced="0">
      <fieldsUsage count="2">
        <fieldUsage x="-1"/>
        <fieldUsage x="7"/>
      </fieldsUsage>
    </cacheHierarchy>
    <cacheHierarchy uniqueName="[TabSpecificationWork_1].[isSHIPPED]" caption="isSHIPPED" attribute="1" defaultMemberUniqueName="[TabSpecificationWork_1].[isSHIPPED].[All]" allUniqueName="[TabSpecificationWork_1].[isSHIPPED].[All]" dimensionUniqueName="[TabSpecificationWork_1]" displayFolder="" count="2" memberValueDatatype="130" unbalanced="0">
      <fieldsUsage count="2">
        <fieldUsage x="-1"/>
        <fieldUsage x="5"/>
      </fieldsUsage>
    </cacheHierarchy>
    <cacheHierarchy uniqueName="[TabSpecificationWork_1].[HASH COLLECTION]" caption="HASH COLLECTION" attribute="1" defaultMemberUniqueName="[TabSpecificationWork_1].[HASH COLLECTION].[All]" allUniqueName="[TabSpecificationWork_1].[HASH COLLECTION].[All]" dimensionUniqueName="[TabSpecificationWork_1]" displayFolder="" count="0" memberValueDatatype="130" unbalanced="0"/>
    <cacheHierarchy uniqueName="[TabSpecificationWork_1].[NAME PRODUCT]" caption="NAME PRODUCT" attribute="1" defaultMemberUniqueName="[TabSpecificationWork_1].[NAME PRODUCT].[All]" allUniqueName="[TabSpecificationWork_1].[NAME PRODUCT].[All]" dimensionUniqueName="[TabSpecificationWork_1]" displayFolder="" count="2" memberValueDatatype="130" unbalanced="0">
      <fieldsUsage count="2">
        <fieldUsage x="-1"/>
        <fieldUsage x="3"/>
      </fieldsUsage>
    </cacheHierarchy>
    <cacheHierarchy uniqueName="[TabSpecificationWork_1].[DESCRIPTION PRODUCT]" caption="DESCRIPTION PRODUCT" attribute="1" defaultMemberUniqueName="[TabSpecificationWork_1].[DESCRIPTION PRODUCT].[All]" allUniqueName="[TabSpecificationWork_1].[DESCRIPTION PRODUCT].[All]" dimensionUniqueName="[TabSpecificationWork_1]" displayFolder="" count="0" memberValueDatatype="130" unbalanced="0"/>
    <cacheHierarchy uniqueName="[TabSpecificationWork_1].[BRAND]" caption="BRAND" attribute="1" defaultMemberUniqueName="[TabSpecificationWork_1].[BRAND].[All]" allUniqueName="[TabSpecificationWork_1].[BRAND].[All]" dimensionUniqueName="[TabSpecificationWork_1]" displayFolder="" count="0" memberValueDatatype="130" unbalanced="0"/>
    <cacheHierarchy uniqueName="[TabSpecificationWork_1].[SUPPLIER]" caption="SUPPLIER" attribute="1" defaultMemberUniqueName="[TabSpecificationWork_1].[SUPPLIER].[All]" allUniqueName="[TabSpecificationWork_1].[SUPPLIER].[All]" dimensionUniqueName="[TabSpecificationWork_1]" displayFolder="" count="0" memberValueDatatype="130" unbalanced="0"/>
    <cacheHierarchy uniqueName="[TabSpecificationWork_1].[ARTICLE SUPPLIER]" caption="ARTICLE SUPPLIER" attribute="1" defaultMemberUniqueName="[TabSpecificationWork_1].[ARTICLE SUPPLIER].[All]" allUniqueName="[TabSpecificationWork_1].[ARTICLE SUPPLIER].[All]" dimensionUniqueName="[TabSpecificationWork_1]" displayFolder="" count="0" memberValueDatatype="130" unbalanced="0"/>
    <cacheHierarchy uniqueName="[TabSpecificationWork_1].[ARTICLE INTERNAL]" caption="ARTICLE INTERNAL" attribute="1" defaultMemberUniqueName="[TabSpecificationWork_1].[ARTICLE INTERNAL].[All]" allUniqueName="[TabSpecificationWork_1].[ARTICLE INTERNAL].[All]" dimensionUniqueName="[TabSpecificationWork_1]" displayFolder="" count="0" memberValueDatatype="130" unbalanced="0"/>
    <cacheHierarchy uniqueName="[TabSpecificationWork_1].[UNITS]" caption="UNITS" attribute="1" defaultMemberUniqueName="[TabSpecificationWork_1].[UNITS].[All]" allUniqueName="[TabSpecificationWork_1].[UNITS].[All]" dimensionUniqueName="[TabSpecificationWork_1]" displayFolder="" count="0" memberValueDatatype="130" unbalanced="0"/>
    <cacheHierarchy uniqueName="[TabSpecificationWork_1].[QUANTITY SET]" caption="QUANTITY SET" attribute="1" defaultMemberUniqueName="[TabSpecificationWork_1].[QUANTITY SET].[All]" allUniqueName="[TabSpecificationWork_1].[QUANTITY SET].[All]" dimensionUniqueName="[TabSpecificationWork_1]" displayFolder="" count="0" memberValueDatatype="20" unbalanced="0"/>
    <cacheHierarchy uniqueName="[TabSpecificationWork_1].[QUANTITY SHIPPED SET]" caption="QUANTITY SHIPPED SET" attribute="1" defaultMemberUniqueName="[TabSpecificationWork_1].[QUANTITY SHIPPED SET].[All]" allUniqueName="[TabSpecificationWork_1].[QUANTITY SHIPPED SET].[All]" dimensionUniqueName="[TabSpecificationWork_1]" displayFolder="" count="0" memberValueDatatype="20" unbalanced="0"/>
    <cacheHierarchy uniqueName="[TabSpecificationWork_1].[QUANTITY TOTAL]" caption="QUANTITY TOTAL" attribute="1" defaultMemberUniqueName="[TabSpecificationWork_1].[QUANTITY TOTAL].[All]" allUniqueName="[TabSpecificationWork_1].[QUANTITY TOTAL].[All]" dimensionUniqueName="[TabSpecificationWork_1]" displayFolder="" count="0" memberValueDatatype="20" unbalanced="0"/>
    <cacheHierarchy uniqueName="[TabSpecificationWork_1].[QUANTITY SUPPLIER]" caption="QUANTITY SUPPLIER" attribute="1" defaultMemberUniqueName="[TabSpecificationWork_1].[QUANTITY SUPPLIER].[All]" allUniqueName="[TabSpecificationWork_1].[QUANTITY SUPPLIER].[All]" dimensionUniqueName="[TabSpecificationWork_1]" displayFolder="" count="0" memberValueDatatype="20" unbalanced="0"/>
    <cacheHierarchy uniqueName="[TabSpecificationWork_1].[PRICE UNIT $PURCHASE]" caption="PRICE UNIT $PURCHASE" attribute="1" defaultMemberUniqueName="[TabSpecificationWork_1].[PRICE UNIT $PURCHASE].[All]" allUniqueName="[TabSpecificationWork_1].[PRICE UNIT $PURCHASE].[All]" dimensionUniqueName="[TabSpecificationWork_1]" displayFolder="" count="0" memberValueDatatype="5" unbalanced="0"/>
    <cacheHierarchy uniqueName="[TabSpecificationWork_1].[COST PRICE $PURCHASE]" caption="COST PRICE $PURCHASE" attribute="1" defaultMemberUniqueName="[TabSpecificationWork_1].[COST PRICE $PURCHASE].[All]" allUniqueName="[TabSpecificationWork_1].[COST PRICE $PURCHASE].[All]" dimensionUniqueName="[TabSpecificationWork_1]" displayFolder="" count="0" memberValueDatatype="5" unbalanced="0"/>
    <cacheHierarchy uniqueName="[TabSpecificationWork_1].[TCP SOURCE]" caption="TCP SOURCE" attribute="1" defaultMemberUniqueName="[TabSpecificationWork_1].[TCP SOURCE].[All]" allUniqueName="[TabSpecificationWork_1].[TCP SOURCE].[All]" dimensionUniqueName="[TabSpecificationWork_1]" displayFolder="" count="0" memberValueDatatype="130" unbalanced="0"/>
    <cacheHierarchy uniqueName="[TabSpecificationWork_1].[COMMENT WORK]" caption="COMMENT WORK" attribute="1" defaultMemberUniqueName="[TabSpecificationWork_1].[COMMENT WORK].[All]" allUniqueName="[TabSpecificationWork_1].[COMMENT WORK].[All]" dimensionUniqueName="[TabSpecificationWork_1]" displayFolder="" count="0" memberValueDatatype="130" unbalanced="0"/>
    <cacheHierarchy uniqueName="[TabSpecificationWork_1].[URL PRODUCT]" caption="URL PRODUCT" attribute="1" defaultMemberUniqueName="[TabSpecificationWork_1].[URL PRODUCT].[All]" allUniqueName="[TabSpecificationWork_1].[URL PRODUCT].[All]" dimensionUniqueName="[TabSpecificationWork_1]" displayFolder="" count="0" memberValueDatatype="130" unbalanced="0"/>
    <cacheHierarchy uniqueName="[TabSpecificationWork_1].[IMAGE PRODUCT]" caption="IMAGE PRODUCT" attribute="1" defaultMemberUniqueName="[TabSpecificationWork_1].[IMAGE PRODUCT].[All]" allUniqueName="[TabSpecificationWork_1].[IMAGE PRODUCT].[All]" dimensionUniqueName="[TabSpecificationWork_1]" displayFolder="" count="0" memberValueDatatype="130" unbalanced="0"/>
    <cacheHierarchy uniqueName="[TabSpecificationWork_2].[HASH COLLECTION]" caption="HASH COLLECTION" attribute="1" defaultMemberUniqueName="[TabSpecificationWork_2].[HASH COLLECTION].[All]" allUniqueName="[TabSpecificationWork_2].[HASH COLLECTION].[All]" dimensionUniqueName="[TabSpecificationWork_2]" displayFolder="" count="0" memberValueDatatype="130" unbalanced="0"/>
    <cacheHierarchy uniqueName="[TabSpecificationWork_2].[COEFFICIENT MARKUP]" caption="COEFFICIENT MARKUP" attribute="1" defaultMemberUniqueName="[TabSpecificationWork_2].[COEFFICIENT MARKUP].[All]" allUniqueName="[TabSpecificationWork_2].[COEFFICIENT MARKUP].[All]" dimensionUniqueName="[TabSpecificationWork_2]" displayFolder="" count="0" memberValueDatatype="5" unbalanced="0"/>
    <cacheHierarchy uniqueName="[TabSpecificationWork_2].[PRICE UNIT $SALE]" caption="PRICE UNIT $SALE" attribute="1" defaultMemberUniqueName="[TabSpecificationWork_2].[PRICE UNIT $SALE].[All]" allUniqueName="[TabSpecificationWork_2].[PRICE UNIT $SALE].[All]" dimensionUniqueName="[TabSpecificationWork_2]" displayFolder="" count="0" memberValueDatatype="5" unbalanced="0"/>
    <cacheHierarchy uniqueName="[TabSpecificationWork_2].[COST DEAL $SALE]" caption="COST DEAL $SALE" attribute="1" defaultMemberUniqueName="[TabSpecificationWork_2].[COST DEAL $SALE].[All]" allUniqueName="[TabSpecificationWork_2].[COST DEAL $SALE].[All]" dimensionUniqueName="[TabSpecificationWork_2]" displayFolder="" count="0" memberValueDatatype="5" unbalanced="0"/>
    <cacheHierarchy uniqueName="[TabSpecificationWork_2].[DISCOUNT PERCENT]" caption="DISCOUNT PERCENT" attribute="1" defaultMemberUniqueName="[TabSpecificationWork_2].[DISCOUNT PERCENT].[All]" allUniqueName="[TabSpecificationWork_2].[DISCOUNT PERCENT].[All]" dimensionUniqueName="[TabSpecificationWork_2]" displayFolder="" count="0" memberValueDatatype="20" unbalanced="0"/>
    <cacheHierarchy uniqueName="[TabSpecificationWork_2].[DISCOUNT MONEY]" caption="DISCOUNT MONEY" attribute="1" defaultMemberUniqueName="[TabSpecificationWork_2].[DISCOUNT MONEY].[All]" allUniqueName="[TabSpecificationWork_2].[DISCOUNT MONEY].[All]" dimensionUniqueName="[TabSpecificationWork_2]" displayFolder="" count="0" memberValueDatatype="20" unbalanced="0"/>
    <cacheHierarchy uniqueName="[TabSpecificationWork_2].[FORMULA SPECIFIC COST]" caption="FORMULA SPECIFIC COST" attribute="1" defaultMemberUniqueName="[TabSpecificationWork_2].[FORMULA SPECIFIC COST].[All]" allUniqueName="[TabSpecificationWork_2].[FORMULA SPECIFIC COST].[All]" dimensionUniqueName="[TabSpecificationWork_2]" displayFolder="" count="0" memberValueDatatype="130" unbalanced="0"/>
    <cacheHierarchy uniqueName="[TabSpecificationWork_2].[PRICE UNIT $TOTAL]" caption="PRICE UNIT $TOTAL" attribute="1" defaultMemberUniqueName="[TabSpecificationWork_2].[PRICE UNIT $TOTAL].[All]" allUniqueName="[TabSpecificationWork_2].[PRICE UNIT $TOTAL].[All]" dimensionUniqueName="[TabSpecificationWork_2]" displayFolder="" count="0" memberValueDatatype="5" unbalanced="0"/>
    <cacheHierarchy uniqueName="[TabSpecificationWork_2].[COST $TOTAL]" caption="COST $TOTAL" attribute="1" defaultMemberUniqueName="[TabSpecificationWork_2].[COST $TOTAL].[All]" allUniqueName="[TabSpecificationWork_2].[COST $TOTAL].[All]" dimensionUniqueName="[TabSpecificationWork_2]" displayFolder="" count="0" memberValueDatatype="5" unbalanced="0"/>
    <cacheHierarchy uniqueName="[TabSpecificationWork_2].[DURATION SALE $TOTAL]" caption="DURATION SALE $TOTAL" attribute="1" defaultMemberUniqueName="[TabSpecificationWork_2].[DURATION SALE $TOTAL].[All]" allUniqueName="[TabSpecificationWork_2].[DURATION SALE $TOTAL].[All]" dimensionUniqueName="[TabSpecificationWork_2]" displayFolder="" count="0" memberValueDatatype="130" unbalanced="0"/>
    <cacheHierarchy uniqueName="[TabSpecificationWork_2].[isSUPPLIED]" caption="isSUPPLIED" attribute="1" defaultMemberUniqueName="[TabSpecificationWork_2].[isSUPPLIED].[All]" allUniqueName="[TabSpecificationWork_2].[isSUPPLIED].[All]" dimensionUniqueName="[TabSpecificationWork_2]" displayFolder="" count="0" memberValueDatatype="130" unbalanced="0"/>
    <cacheHierarchy uniqueName="[TabSpecificationWork_2].[isPROCESSING]" caption="isPROCESSING" attribute="1" defaultMemberUniqueName="[TabSpecificationWork_2].[isPROCESSING].[All]" allUniqueName="[TabSpecificationWork_2].[isPROCESSING].[All]" dimensionUniqueName="[TabSpecificationWork_2]" displayFolder="" count="0" memberValueDatatype="130" unbalanced="0"/>
    <cacheHierarchy uniqueName="[TabSpecificationWork_2].[COMMENT CUSTOMER]" caption="COMMENT CUSTOMER" attribute="1" defaultMemberUniqueName="[TabSpecificationWork_2].[COMMENT CUSTOMER].[All]" allUniqueName="[TabSpecificationWork_2].[COMMENT CUSTOMER].[All]" dimensionUniqueName="[TabSpecificationWork_2]" displayFolder="" count="0" memberValueDatatype="130" unbalanced="0"/>
    <cacheHierarchy uniqueName="[Measures].[__XL_Count TabSpecificationWork_1]" caption="__XL_Count TabSpecificationWork_1" measure="1" displayFolder="" measureGroup="TabSpecificationWork_1" count="0" hidden="1"/>
    <cacheHierarchy uniqueName="[Measures].[__XL_Count TabSpecificationWork_2]" caption="__XL_Count TabSpecificationWork_2" measure="1" displayFolder="" measureGroup="TabSpecificationWork_2" count="0" hidden="1"/>
    <cacheHierarchy uniqueName="[Measures].[__Не определено ни одной меры]" caption="__Не определено ни одной меры" measure="1" displayFolder="" count="0" hidden="1"/>
    <cacheHierarchy uniqueName="[Measures].[Сумма по столбцу COEFFICIENT MARKUP]" caption="Сумма по столбцу COEFFICIENT MARKUP" measure="1" displayFolder="" measureGroup="TabSpecificationWork_2" count="0" hidden="1">
      <extLst>
        <ext xmlns:x15="http://schemas.microsoft.com/office/spreadsheetml/2010/11/main" uri="{B97F6D7D-B522-45F9-BDA1-12C45D357490}">
          <x15:cacheHierarchy aggregatedColumn="29"/>
        </ext>
      </extLst>
    </cacheHierarchy>
    <cacheHierarchy uniqueName="[Measures].[Сумма по столбцу PRICE UNIT $SALE]" caption="Сумма по столбцу PRICE UNIT $SALE" measure="1" displayFolder="" measureGroup="TabSpecificationWork_2" count="0" hidden="1">
      <extLst>
        <ext xmlns:x15="http://schemas.microsoft.com/office/spreadsheetml/2010/11/main" uri="{B97F6D7D-B522-45F9-BDA1-12C45D357490}">
          <x15:cacheHierarchy aggregatedColumn="30"/>
        </ext>
      </extLst>
    </cacheHierarchy>
    <cacheHierarchy uniqueName="[Measures].[Сумма по столбцу COST DEAL $SALE]" caption="Сумма по столбцу COST DEAL $SALE" measure="1" displayFolder="" measureGroup="TabSpecificationWork_2" count="0" hidden="1">
      <extLst>
        <ext xmlns:x15="http://schemas.microsoft.com/office/spreadsheetml/2010/11/main" uri="{B97F6D7D-B522-45F9-BDA1-12C45D357490}">
          <x15:cacheHierarchy aggregatedColumn="31"/>
        </ext>
      </extLst>
    </cacheHierarchy>
    <cacheHierarchy uniqueName="[Measures].[Сумма по столбцу DISCOUNT PERCENT]" caption="Сумма по столбцу DISCOUNT PERCENT" measure="1" displayFolder="" measureGroup="TabSpecificationWork_2" count="0" hidden="1">
      <extLst>
        <ext xmlns:x15="http://schemas.microsoft.com/office/spreadsheetml/2010/11/main" uri="{B97F6D7D-B522-45F9-BDA1-12C45D357490}">
          <x15:cacheHierarchy aggregatedColumn="32"/>
        </ext>
      </extLst>
    </cacheHierarchy>
    <cacheHierarchy uniqueName="[Measures].[Сумма по столбцу DISCOUNT MONEY]" caption="Сумма по столбцу DISCOUNT MONEY" measure="1" displayFolder="" measureGroup="TabSpecificationWork_2" count="0" hidden="1">
      <extLst>
        <ext xmlns:x15="http://schemas.microsoft.com/office/spreadsheetml/2010/11/main" uri="{B97F6D7D-B522-45F9-BDA1-12C45D357490}">
          <x15:cacheHierarchy aggregatedColumn="33"/>
        </ext>
      </extLst>
    </cacheHierarchy>
    <cacheHierarchy uniqueName="[Measures].[Сумма по столбцу QUANTITY SET]" caption="Сумма по столбцу QUANTITY SET" measure="1" displayFolder="" measureGroup="TabSpecificationWork_1" count="0" hidden="1">
      <extLst>
        <ext xmlns:x15="http://schemas.microsoft.com/office/spreadsheetml/2010/11/main" uri="{B97F6D7D-B522-45F9-BDA1-12C45D357490}">
          <x15:cacheHierarchy aggregatedColumn="18"/>
        </ext>
      </extLst>
    </cacheHierarchy>
    <cacheHierarchy uniqueName="[Measures].[Сумма по столбцу QUANTITY SHIPPED SET]" caption="Сумма по столбцу QUANTITY SHIPPED SET" measure="1" displayFolder="" measureGroup="TabSpecificationWork_1" count="0" hidden="1">
      <extLst>
        <ext xmlns:x15="http://schemas.microsoft.com/office/spreadsheetml/2010/11/main" uri="{B97F6D7D-B522-45F9-BDA1-12C45D357490}">
          <x15:cacheHierarchy aggregatedColumn="19"/>
        </ext>
      </extLst>
    </cacheHierarchy>
    <cacheHierarchy uniqueName="[Measures].[Сумма по столбцу QUANTITY TOTAL]" caption="Сумма по столбцу QUANTITY TOTAL" measure="1" displayFolder="" measureGroup="TabSpecificationWork_1" count="0" oneField="1" hidden="1">
      <fieldsUsage count="1">
        <fieldUsage x="6"/>
      </fieldsUsage>
      <extLst>
        <ext xmlns:x15="http://schemas.microsoft.com/office/spreadsheetml/2010/11/main" uri="{B97F6D7D-B522-45F9-BDA1-12C45D357490}">
          <x15:cacheHierarchy aggregatedColumn="20"/>
        </ext>
      </extLst>
    </cacheHierarchy>
    <cacheHierarchy uniqueName="[Measures].[Число элементов в столбце IDset]" caption="Число элементов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Сумма по столбцу COST PRICE $PURCHASE]" caption="Сумма по столбцу COST PRICE $PURCHASE" measure="1" displayFolder="" measureGroup="TabSpecificationWork_1" count="0" oneField="1" hidden="1">
      <fieldsUsage count="1">
        <fieldUsage x="2"/>
      </fieldsUsage>
      <extLst>
        <ext xmlns:x15="http://schemas.microsoft.com/office/spreadsheetml/2010/11/main" uri="{B97F6D7D-B522-45F9-BDA1-12C45D357490}">
          <x15:cacheHierarchy aggregatedColumn="23"/>
        </ext>
      </extLst>
    </cacheHierarchy>
    <cacheHierarchy uniqueName="[Measures].[Максимум в столбце COST PRICE $PURCHASE]" caption="Максимум в столбце COST PRICE $PURCHASE" measure="1" displayFolder="" measureGroup="TabSpecificationWork_1" count="0" hidden="1">
      <extLst>
        <ext xmlns:x15="http://schemas.microsoft.com/office/spreadsheetml/2010/11/main" uri="{B97F6D7D-B522-45F9-BDA1-12C45D357490}">
          <x15:cacheHierarchy aggregatedColumn="23"/>
        </ext>
      </extLst>
    </cacheHierarchy>
    <cacheHierarchy uniqueName="[Measures].[Сумма по столбцу COST $TOTAL]" caption="Сумма по столбцу COST $TOTAL" measure="1" displayFolder="" measureGroup="TabSpecificationWork_2" count="0" oneField="1" hidden="1">
      <fieldsUsage count="1">
        <fieldUsage x="4"/>
      </fieldsUsage>
      <extLst>
        <ext xmlns:x15="http://schemas.microsoft.com/office/spreadsheetml/2010/11/main" uri="{B97F6D7D-B522-45F9-BDA1-12C45D357490}">
          <x15:cacheHierarchy aggregatedColumn="36"/>
        </ext>
      </extLst>
    </cacheHierarchy>
    <cacheHierarchy uniqueName="[Measures].[Максимум в столбце COST $TOTAL]" caption="Максимум в столбце COST $TOTAL" measure="1" displayFolder="" measureGroup="TabSpecificationWork_2" count="0" hidden="1">
      <extLst>
        <ext xmlns:x15="http://schemas.microsoft.com/office/spreadsheetml/2010/11/main" uri="{B97F6D7D-B522-45F9-BDA1-12C45D357490}">
          <x15:cacheHierarchy aggregatedColumn="36"/>
        </ext>
      </extLst>
    </cacheHierarchy>
    <cacheHierarchy uniqueName="[Measures].[Сумма по столбцу IDset]" caption="Сумма по столбцу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IDset]" caption="Максимум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QUANTITY TOTAL]" caption="Максимум в столбце QUANTITY TOTAL" measure="1" displayFolder="" measureGroup="TabSpecificationWork_1" count="0" hidden="1">
      <extLst>
        <ext xmlns:x15="http://schemas.microsoft.com/office/spreadsheetml/2010/11/main" uri="{B97F6D7D-B522-45F9-BDA1-12C45D357490}">
          <x15:cacheHierarchy aggregatedColumn="20"/>
        </ext>
      </extLst>
    </cacheHierarchy>
    <cacheHierarchy uniqueName="[Measures].[Число элементов в столбце NUM FULL SET]" caption="Число элементов в столбце NUM FULL SET" measure="1" displayFolder="" measureGroup="TabSpecificationWork_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SpecificationWork_1" uniqueName="[TabSpecificationWork_1]" caption="TabSpecificationWork_1"/>
    <dimension name="TabSpecificationWork_2" uniqueName="[TabSpecificationWork_2]" caption="TabSpecificationWork_2"/>
  </dimensions>
  <measureGroups count="2">
    <measureGroup name="TabSpecificationWork_1" caption="TabSpecificationWork_1"/>
    <measureGroup name="TabSpecificationWork_2" caption="TabSpecificationWork_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30F92-2C79-4E2B-A25C-57BFA29CC982}" name="Сводная таблица7" cacheId="0" applyNumberFormats="0" applyBorderFormats="0" applyFontFormats="0" applyPatternFormats="0" applyAlignmentFormats="0" applyWidthHeightFormats="1" dataCaption="Значения" tag="50e29880-fb16-401c-a6e9-1e6c127231d5" updatedVersion="8" minRefreshableVersion="3" subtotalHiddenItems="1" itemPrintTitles="1" createdVersion="8" indent="0" showEmptyRow="1" outline="1" outlineData="1" multipleFieldFilters="0" rowHeaderCaption="НАИМЕНОВАНИЕ ПОЗИЦИИ">
  <location ref="A6:D16" firstHeaderRow="0" firstDataRow="1" firstDataCol="1" rowPageCount="3" colPageCount="1"/>
  <pivotFields count="8">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Fields count="2">
    <field x="0"/>
    <field x="3"/>
  </rowFields>
  <rowItems count="10">
    <i>
      <x/>
    </i>
    <i r="1">
      <x/>
    </i>
    <i r="1">
      <x v="1"/>
    </i>
    <i r="1">
      <x v="2"/>
    </i>
    <i>
      <x v="1"/>
    </i>
    <i r="1">
      <x v="3"/>
    </i>
    <i r="1">
      <x v="4"/>
    </i>
    <i r="1">
      <x v="5"/>
    </i>
    <i r="1">
      <x v="6"/>
    </i>
    <i t="grand">
      <x/>
    </i>
  </rowItems>
  <colFields count="1">
    <field x="-2"/>
  </colFields>
  <colItems count="3">
    <i>
      <x/>
    </i>
    <i i="1">
      <x v="1"/>
    </i>
    <i i="2">
      <x v="2"/>
    </i>
  </colItems>
  <pageFields count="3">
    <pageField fld="1" hier="2" name="[TabSpecificationWork_1].[NUM PROJECT].&amp;[1/2024-N3-ГОРИЗОНТ]" cap="1/2024-N3-ГОРИЗОНТ"/>
    <pageField fld="5" hier="9" name="[TabSpecificationWork_1].[isSHIPPED].[All]" cap="All"/>
    <pageField fld="7" hier="8" name="[TabSpecificationWork_1].[NUM FULL SET].&amp;[1.1]" cap="1.1"/>
  </pageFields>
  <dataFields count="3">
    <dataField name="Сумма по столбцу QUANTITY TOTAL" fld="6" baseField="3" baseItem="1"/>
    <dataField name="Сумма по столбцу COST PRICE $PURCHASE" fld="2" baseField="3" baseItem="1"/>
    <dataField name="COST $TOTAL" fld="4" baseField="3" baseItem="1"/>
  </dataFields>
  <formats count="34">
    <format dxfId="146">
      <pivotArea dataOnly="0" labelOnly="1" outline="0" axis="axisValues" fieldPosition="0"/>
    </format>
    <format dxfId="145">
      <pivotArea dataOnly="0" labelOnly="1" outline="0" axis="axisValues" fieldPosition="0"/>
    </format>
    <format dxfId="144">
      <pivotArea dataOnly="0" outline="0" fieldPosition="0">
        <references count="1">
          <reference field="4294967294" count="1">
            <x v="1"/>
          </reference>
        </references>
      </pivotArea>
    </format>
    <format dxfId="143">
      <pivotArea dataOnly="0" outline="0" fieldPosition="0">
        <references count="1">
          <reference field="4294967294" count="1">
            <x v="1"/>
          </reference>
        </references>
      </pivotArea>
    </format>
    <format dxfId="142">
      <pivotArea dataOnly="0" outline="0" fieldPosition="0">
        <references count="1">
          <reference field="4294967294" count="1">
            <x v="0"/>
          </reference>
        </references>
      </pivotArea>
    </format>
    <format dxfId="141">
      <pivotArea dataOnly="0" outline="0" fieldPosition="0">
        <references count="1">
          <reference field="4294967294" count="1">
            <x v="0"/>
          </reference>
        </references>
      </pivotArea>
    </format>
    <format dxfId="140">
      <pivotArea dataOnly="0" outline="0" fieldPosition="0">
        <references count="1">
          <reference field="4294967294" count="1">
            <x v="1"/>
          </reference>
        </references>
      </pivotArea>
    </format>
    <format dxfId="139">
      <pivotArea field="1" type="button" dataOnly="0" labelOnly="1" outline="0" axis="axisPage" fieldPosition="0"/>
    </format>
    <format dxfId="138">
      <pivotArea field="0" type="button" dataOnly="0" labelOnly="1" outline="0" axis="axisRow" fieldPosition="0"/>
    </format>
    <format dxfId="137">
      <pivotArea dataOnly="0" labelOnly="1" fieldPosition="0">
        <references count="1">
          <reference field="0" count="0"/>
        </references>
      </pivotArea>
    </format>
    <format dxfId="136">
      <pivotArea dataOnly="0" labelOnly="1" grandRow="1" outline="0" fieldPosition="0"/>
    </format>
    <format dxfId="135">
      <pivotArea dataOnly="0" labelOnly="1" fieldPosition="0">
        <references count="2">
          <reference field="0" count="1" selected="0">
            <x v="1"/>
          </reference>
          <reference field="3" count="2">
            <x v="5"/>
            <x v="11"/>
          </reference>
        </references>
      </pivotArea>
    </format>
    <format dxfId="134">
      <pivotArea dataOnly="0" labelOnly="1" fieldPosition="0">
        <references count="2">
          <reference field="0" count="1" selected="0">
            <x v="3"/>
          </reference>
          <reference field="3" count="2">
            <x v="7"/>
            <x v="8"/>
          </reference>
        </references>
      </pivotArea>
    </format>
    <format dxfId="133">
      <pivotArea field="1" type="button" dataOnly="0" labelOnly="1" outline="0" axis="axisPage" fieldPosition="0"/>
    </format>
    <format dxfId="132">
      <pivotArea dataOnly="0" labelOnly="1" outline="0" fieldPosition="0">
        <references count="1">
          <reference field="4294967294" count="1">
            <x v="2"/>
          </reference>
        </references>
      </pivotArea>
    </format>
    <format dxfId="131">
      <pivotArea outline="0" collapsedLevelsAreSubtotals="1" fieldPosition="0">
        <references count="1">
          <reference field="4294967294" count="1" selected="0">
            <x v="2"/>
          </reference>
        </references>
      </pivotArea>
    </format>
    <format dxfId="130">
      <pivotArea field="0" grandRow="1" outline="0" collapsedLevelsAreSubtotals="1" axis="axisRow" fieldPosition="0">
        <references count="1">
          <reference field="4294967294" count="1" selected="0">
            <x v="2"/>
          </reference>
        </references>
      </pivotArea>
    </format>
    <format dxfId="129">
      <pivotArea dataOnly="0" outline="0" fieldPosition="0">
        <references count="1">
          <reference field="4294967294" count="1">
            <x v="0"/>
          </reference>
        </references>
      </pivotArea>
    </format>
    <format dxfId="128">
      <pivotArea dataOnly="0" labelOnly="1" outline="0" fieldPosition="0">
        <references count="1">
          <reference field="4294967294" count="1">
            <x v="0"/>
          </reference>
        </references>
      </pivotArea>
    </format>
    <format dxfId="127">
      <pivotArea field="0" type="button" dataOnly="0" labelOnly="1" outline="0" axis="axisRow" fieldPosition="0"/>
    </format>
    <format dxfId="126">
      <pivotArea dataOnly="0" labelOnly="1" fieldPosition="0">
        <references count="1">
          <reference field="0" count="0"/>
        </references>
      </pivotArea>
    </format>
    <format dxfId="125">
      <pivotArea dataOnly="0" labelOnly="1" grandRow="1" outline="0" fieldPosition="0"/>
    </format>
    <format dxfId="124">
      <pivotArea field="0" type="button" dataOnly="0" labelOnly="1" outline="0" axis="axisRow" fieldPosition="0"/>
    </format>
    <format dxfId="123">
      <pivotArea dataOnly="0" labelOnly="1" fieldPosition="0">
        <references count="1">
          <reference field="0" count="1">
            <x v="4"/>
          </reference>
        </references>
      </pivotArea>
    </format>
    <format dxfId="122">
      <pivotArea dataOnly="0" labelOnly="1" grandRow="1" outline="0" fieldPosition="0"/>
    </format>
    <format dxfId="121">
      <pivotArea dataOnly="0" labelOnly="1" fieldPosition="0">
        <references count="2">
          <reference field="0" count="1" selected="0">
            <x v="4"/>
          </reference>
          <reference field="3" count="2">
            <x v="9"/>
            <x v="10"/>
          </reference>
        </references>
      </pivotArea>
    </format>
    <format dxfId="120">
      <pivotArea field="0" type="button" dataOnly="0" labelOnly="1" outline="0" axis="axisRow" fieldPosition="0"/>
    </format>
    <format dxfId="119">
      <pivotArea dataOnly="0" labelOnly="1" fieldPosition="0">
        <references count="1">
          <reference field="0" count="4">
            <x v="0"/>
            <x v="1"/>
            <x v="2"/>
            <x v="3"/>
          </reference>
        </references>
      </pivotArea>
    </format>
    <format dxfId="118">
      <pivotArea dataOnly="0" labelOnly="1" grandRow="1" outline="0" fieldPosition="0"/>
    </format>
    <format dxfId="117">
      <pivotArea dataOnly="0" labelOnly="1" fieldPosition="0">
        <references count="1">
          <reference field="3" count="0"/>
        </references>
      </pivotArea>
    </format>
    <format dxfId="116">
      <pivotArea dataOnly="0" labelOnly="1" fieldPosition="0">
        <references count="1">
          <reference field="3" count="0"/>
        </references>
      </pivotArea>
    </format>
    <format dxfId="115">
      <pivotArea dataOnly="0" outline="0" fieldPosition="0">
        <references count="1">
          <reference field="4294967294" count="1">
            <x v="1"/>
          </reference>
        </references>
      </pivotArea>
    </format>
    <format dxfId="114">
      <pivotArea dataOnly="0" outline="0" fieldPosition="0">
        <references count="1">
          <reference field="4294967294" count="1">
            <x v="2"/>
          </reference>
        </references>
      </pivotArea>
    </format>
    <format dxfId="113">
      <pivotArea dataOnly="0" outline="0" fieldPosition="0">
        <references count="1">
          <reference field="4294967294" count="1">
            <x v="2"/>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9" level="1">
        <member name="[TabSpecificationWork_1].[NUM FULL SET].&amp;[1.1]"/>
        <member name="[TabSpecificationWork_1].[NUM FULL SET].&amp;[1.2]"/>
        <member name="[TabSpecificationWork_1].[NUM FULL SET].&amp;[2.1]"/>
        <member name="[TabSpecificationWork_1].[NUM FULL SET].&amp;[2.2]"/>
        <member name="[TabSpecificationWork_1].[NUM FULL SET].&amp;[2.3]"/>
        <member name="[TabSpecificationWork_1].[NUM FULL SET].&amp;[2.4]"/>
        <member name="[TabSpecificationWork_1].[NUM FULL SET].&amp;[2.5]"/>
        <member name="[TabSpecificationWork_1].[NUM FULL SET].&amp;[3.1]"/>
        <member name="[TabSpecificationWork_1].[NUM FULL SET].&amp;[3.2]"/>
        <member name="[TabSpecificationWork_1].[NUM FULL SET].&amp;[3.3]"/>
        <member name="[TabSpecificationWork_1].[NUM FULL SET].&amp;[3.4]"/>
        <member name="[TabSpecificationWork_1].[NUM FULL SET].&amp;[3.5]"/>
        <member name="[TabSpecificationWork_1].[NUM FULL SET].&amp;[3.6]"/>
        <member name="[TabSpecificationWork_1].[NUM FULL SET].&amp;[4.1]"/>
        <member name="[TabSpecificationWork_1].[NUM FULL SET].&amp;[4.2]"/>
        <member name="[TabSpecificationWork_1].[NUM FULL SET].&amp;[4.3]"/>
        <member name="[TabSpecificationWork_1].[NUM FULL SET].&amp;[4.4]"/>
        <member name="[TabSpecificationWork_1].[NUM FULL SET].&amp;[4.6]"/>
        <member name="[TabSpecificationWork_1].[NUM FULL SET].&amp;[5.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Сумма по столбцу QUANTITY TOTAL"/>
    <pivotHierarchy dragToData="1"/>
    <pivotHierarchy dragToData="1" caption="Сумма по столбцу COST PRICE $PURCHASE"/>
    <pivotHierarchy dragToData="1" caption="Максимум в столбце COST PRICE $PURCHASE"/>
    <pivotHierarchy dragToData="1" caption="COST $TOTAL"/>
    <pivotHierarchy dragToData="1" caption="Максимум в столбце COST $TOTAL"/>
    <pivotHierarchy dragToData="1"/>
    <pivotHierarchy dragToData="1" caption="IDset"/>
    <pivotHierarchy dragToData="1" caption="QUANTITY TOTAL"/>
    <pivotHierarchy dragToData="1"/>
  </pivotHierarchies>
  <pivotTableStyleInfo name="PivotStyleMedium6" showRowHeaders="1" showColHeaders="1" showRowStripes="0" showColStripes="0" showLastColumn="1"/>
  <rowHierarchiesUsage count="2">
    <rowHierarchyUsage hierarchyUsage="5"/>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SpecificationWork_1]"/>
        <x15:activeTabTopLevelEntity name="[TabSpecificationWork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F1CCDB27-A76E-4759-AF84-FB1A0BBBBA95}" autoFormatId="16" applyNumberFormats="0" applyBorderFormats="0" applyFontFormats="0" applyPatternFormats="0" applyAlignmentFormats="0" applyWidthHeightFormats="0">
  <queryTableRefresh nextId="57">
    <queryTableFields count="47">
      <queryTableField id="1" name="IDnum" tableColumnId="1"/>
      <queryTableField id="2" name="IDsource" tableColumnId="2"/>
      <queryTableField id="3" name="NUM PROJECT" tableColumnId="3"/>
      <queryTableField id="4" name="NUM ORDER" tableColumnId="4"/>
      <queryTableField id="5" name="VER COLLECTION" tableColumnId="5"/>
      <queryTableField id="6" name="DESCRIPTION SET" tableColumnId="6"/>
      <queryTableField id="7" name="IDset" tableColumnId="7"/>
      <queryTableField id="8" name="NUM SEQUENCE SET" tableColumnId="8"/>
      <queryTableField id="9" name="NUM FULL SET" tableColumnId="9"/>
      <queryTableField id="10" name="isSHIPPED" tableColumnId="10"/>
      <queryTableField id="11" name="HASH COLLECTION" tableColumnId="11"/>
      <queryTableField id="12" name="NAME PRODUCT" tableColumnId="12"/>
      <queryTableField id="13" name="DESCRIPTION PRODUCT" tableColumnId="13"/>
      <queryTableField id="14" name="BRAND" tableColumnId="14"/>
      <queryTableField id="15" name="SUPPLIER" tableColumnId="15"/>
      <queryTableField id="16" name="ARTICLE SUPPLIER" tableColumnId="16"/>
      <queryTableField id="17" name="ARTICLE INTERNAL" tableColumnId="17"/>
      <queryTableField id="18" name="UNITS" tableColumnId="18"/>
      <queryTableField id="19" name="QUANTITY SET" tableColumnId="19"/>
      <queryTableField id="20" name="QUANTITY SHIPPED SET" tableColumnId="20"/>
      <queryTableField id="21" name="QUANTITY TOTAL" tableColumnId="21"/>
      <queryTableField id="22" name="QUANTITY SUPPLIER" tableColumnId="22"/>
      <queryTableField id="23" name="PRICE UNIT $PURCHASE" tableColumnId="23"/>
      <queryTableField id="41" name="VAT ADD PRICE $PURCHASE" tableColumnId="27"/>
      <queryTableField id="24" name="COST PRICE $PURCHASE" tableColumnId="24"/>
      <queryTableField id="42" name="COST PRICE VAT $PURCHASE" tableColumnId="41"/>
      <queryTableField id="25" name="TCP SOURCE" tableColumnId="25"/>
      <queryTableField id="26" name="COMMENT WORK" tableColumnId="26"/>
      <queryTableField id="43" name="URL PRODUCT" tableColumnId="42"/>
      <queryTableField id="28" name="IMAGE PRODUCT" tableColumnId="28"/>
      <queryTableField id="29" name="COEFFICIENT MARKUP" tableColumnId="29"/>
      <queryTableField id="30" name="PRICE UNIT $SALE" tableColumnId="30"/>
      <queryTableField id="31" name="COST DEAL $SALE" tableColumnId="31"/>
      <queryTableField id="32" name="DISCOUNT PERCENT" tableColumnId="32"/>
      <queryTableField id="33" name="DISCOUNT MONEY" tableColumnId="33"/>
      <queryTableField id="34" name="FORMULA SPECIFIC COST" tableColumnId="34"/>
      <queryTableField id="44" name="VAT RATE CONTRACTOR $TOTAL" tableColumnId="43"/>
      <queryTableField id="35" name="PRICE UNIT $TOTAL" tableColumnId="35"/>
      <queryTableField id="45" name="VAT ADD PRICE UNIT $TOTAL" tableColumnId="44"/>
      <queryTableField id="46" name="PRICE VAT UNIT $TOTAL" tableColumnId="45"/>
      <queryTableField id="36" name="COST $TOTAL" tableColumnId="36"/>
      <queryTableField id="47" name="COST ADD VAT $TOTAL" tableColumnId="46"/>
      <queryTableField id="48" name="COST VAT $TOTAL" tableColumnId="47"/>
      <queryTableField id="37" name="DURATION SALE $TOTAL" tableColumnId="37"/>
      <queryTableField id="38" name="isSUPPLIED" tableColumnId="38"/>
      <queryTableField id="39" name="isPROCESSING" tableColumnId="39"/>
      <queryTableField id="40" name="COMMENT CUSTOMER" tableColumnId="4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6" xr16:uid="{AF17E717-7B70-4CA4-86E7-63CFF8DFFC6E}" autoFormatId="16" applyNumberFormats="0" applyBorderFormats="0" applyFontFormats="0" applyPatternFormats="0" applyAlignmentFormats="0" applyWidthHeightFormats="0">
  <queryTableRefresh nextId="7">
    <queryTableFields count="5">
      <queryTableField id="1" name="IDnum" tableColumnId="1"/>
      <queryTableField id="3" name="HASH COLLECTION" tableColumnId="3"/>
      <queryTableField id="2" name="IDprojectfull" tableColumnId="2"/>
      <queryTableField id="4" name="GENERAL CONTRACTOR" tableColumnId="4"/>
      <queryTableField id="5" name="PROJECT CHIEF ENGINEE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3" xr16:uid="{DB1788FE-EABE-4806-8AE4-8B463E76D40B}" autoFormatId="16" applyNumberFormats="0" applyBorderFormats="0" applyFontFormats="0" applyPatternFormats="0" applyAlignmentFormats="0" applyWidthHeightFormats="0">
  <queryTableRefresh nextId="3">
    <queryTableFields count="2">
      <queryTableField id="1" name="IDvendor" tableColumnId="1"/>
      <queryTableField id="2" name="BRAN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9" xr16:uid="{5FF5EC87-6B47-4F56-B531-6311735B8657}" autoFormatId="16" applyNumberFormats="0" applyBorderFormats="0" applyFontFormats="0" applyPatternFormats="0" applyAlignmentFormats="0" applyWidthHeightFormats="0">
  <queryTableRefresh nextId="6">
    <queryTableFields count="2">
      <queryTableField id="3" name="IDsupplier" tableColumnId="1"/>
      <queryTableField id="2" name="COMPANY_LABEL"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0" xr16:uid="{FAC7B856-09A1-469F-B852-89448551726D}" autoFormatId="16" applyNumberFormats="0" applyBorderFormats="0" applyFontFormats="0" applyPatternFormats="0" applyAlignmentFormats="0" applyWidthHeightFormats="0">
  <queryTableRefresh nextId="3">
    <queryTableFields count="2">
      <queryTableField id="1" name="IDnum" tableColumnId="1"/>
      <queryTableField id="2" name="UNITS" tableColumnId="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2F276A-FCBF-4A3F-9BB6-CF6584DA62A7}" name="TabSpecificationWork_1" displayName="TabSpecificationWork_1" ref="A1:AD70" headerRowDxfId="248" dataDxfId="247">
  <autoFilter ref="A1:AD70" xr:uid="{442F276A-FCBF-4A3F-9BB6-CF6584DA62A7}"/>
  <tableColumns count="30">
    <tableColumn id="1" xr3:uid="{2A60F78A-557A-4C8A-A1E1-3BC16A6FE122}" name="IDnum" totalsRowLabel="Итог" dataDxfId="246" totalsRowDxfId="245"/>
    <tableColumn id="2" xr3:uid="{541234E3-F4FB-40FB-94E5-C48A42522446}" name="IDsource" dataDxfId="244" totalsRowDxfId="243"/>
    <tableColumn id="3" xr3:uid="{0B672A4C-E7A8-4307-AEA0-96DB12CAE848}" name="NUM PROJECT" dataDxfId="242" totalsRowDxfId="241"/>
    <tableColumn id="4" xr3:uid="{7C886965-9CC6-4F70-9A26-CD62DE88EE22}" name="NUM ORDER" dataDxfId="240" totalsRowDxfId="239">
      <calculatedColumnFormula>MID(TabSpecificationWork_1[[#This Row],[NUM PROJECT]], SEARCH("-N",TabSpecificationWork_1[[#This Row],[NUM PROJECT]])+2, SEARCH("-",TabSpecificationWork_1[[#This Row],[NUM PROJECT]],SEARCH("-",TabSpecificationWork_1[[#This Row],[NUM PROJECT]])+1) - (SEARCH("-N",TabSpecificationWork_1[[#This Row],[NUM PROJECT]])+2))</calculatedColumnFormula>
    </tableColumn>
    <tableColumn id="5" xr3:uid="{6AFA91E3-22E0-4EE8-BAC1-9C0C6B682136}" name="VER COLLECTION" dataDxfId="238" totalsRowDxfId="237"/>
    <tableColumn id="29" xr3:uid="{7E06C33D-E17B-437A-A8A1-B05832931B53}" name="DESCRIPTION SET" dataDxfId="236" totalsRowDxfId="235"/>
    <tableColumn id="6" xr3:uid="{60524C36-7891-4CDA-9758-A81A6E347383}" name="IDset" dataDxfId="234" totalsRowDxfId="233"/>
    <tableColumn id="7" xr3:uid="{70377ED0-0798-4786-A968-A1092A705384}" name="NUM SEQUENCE SET" dataDxfId="232" totalsRowDxfId="231"/>
    <tableColumn id="8" xr3:uid="{CD27A90F-05C1-4D45-8DD6-EA7D25D8F06C}" name="NUM FULL SET" dataDxfId="230" totalsRowDxfId="229">
      <calculatedColumnFormula>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calculatedColumnFormula>
    </tableColumn>
    <tableColumn id="25" xr3:uid="{152B1876-09E9-4A2D-B55C-ADC87B2900FA}" name="isSHIPPED" dataDxfId="228" totalsRowDxfId="227"/>
    <tableColumn id="10" xr3:uid="{FB51258F-427B-4495-A3E9-6E78E7532742}" name="HASH COLLECTION" dataDxfId="226" totalsRowDxfId="225">
      <calculatedColumnFormula>LOWER(CONCATENATE(TabSpecificationWork_1[[#This Row],[NUM PROJECT]],"-","ver_",TabSpecificationWork_1[[#This Row],[VER COLLECTION]],"-","set_",TabSpecificationWork_1[[#This Row],[NUM FULL SET]],"-",TabSpecificationWork_1[[#This Row],[isSHIPPED]]))</calculatedColumnFormula>
    </tableColumn>
    <tableColumn id="11" xr3:uid="{8A2D1173-F161-463D-A0BF-63FC7ED0B4FB}" name="NAME PRODUCT" dataDxfId="224" totalsRowDxfId="223"/>
    <tableColumn id="12" xr3:uid="{907BD0C9-0114-4638-A983-899356A9C869}" name="DESCRIPTION PRODUCT" dataDxfId="222" totalsRowDxfId="221"/>
    <tableColumn id="13" xr3:uid="{108EA91F-680B-4273-94E8-8FBCFFA1AC04}" name="BRAND" dataDxfId="220" totalsRowDxfId="219"/>
    <tableColumn id="14" xr3:uid="{E4861E4D-A0C8-4A11-B4AA-DFB3C64D4EB2}" name="SUPPLIER" dataDxfId="218" totalsRowDxfId="217"/>
    <tableColumn id="15" xr3:uid="{73475B39-6871-4833-BB24-BF8B8CF4E4A4}" name="ARTICLE SUPPLIER" dataDxfId="216" totalsRowDxfId="215"/>
    <tableColumn id="16" xr3:uid="{EDB46A9A-3B70-4724-AC00-E030C20DCA43}" name="ARTICLE INTERNAL" dataDxfId="214" totalsRowDxfId="213"/>
    <tableColumn id="17" xr3:uid="{57F8BAC9-CE7F-42C1-8751-D77B4DA60042}" name="UNITS" dataDxfId="212" totalsRowDxfId="211"/>
    <tableColumn id="18" xr3:uid="{9DED3F02-E50D-4A33-AD0A-34AC1D718EFF}" name="QUANTITY SET" dataDxfId="210" totalsRowDxfId="209"/>
    <tableColumn id="19" xr3:uid="{1EA71402-BB69-4112-A4BE-D366F7C82A46}" name="QUANTITY SHIPPED SET" dataDxfId="208" totalsRowDxfId="207"/>
    <tableColumn id="20" xr3:uid="{C8E53872-0682-484F-B8D2-9C2713240884}" name="QUANTITY TOTAL" dataDxfId="206" totalsRowDxfId="205">
      <calculatedColumnFormula>TabSpecificationWork_1[[#This Row],[QUANTITY SET]]*TabSpecificationWork_1[[#This Row],[QUANTITY SHIPPED SET]]</calculatedColumnFormula>
    </tableColumn>
    <tableColumn id="21" xr3:uid="{6E122565-E65B-4DE9-B185-5F011F19A6B3}" name="QUANTITY SUPPLIER" dataDxfId="204" totalsRowDxfId="203"/>
    <tableColumn id="22" xr3:uid="{53F2F633-89D3-455F-8FEB-8BFB964B4EEE}" name="PRICE UNIT $PURCHASE" dataDxfId="202" totalsRowDxfId="201" dataCellStyle="Связанная ячейка"/>
    <tableColumn id="9" xr3:uid="{3BA18DCF-B663-4699-8019-4AC2D1A5E3BA}" name="VAT ADD PRICE $PURCHASE" dataDxfId="200" totalsRowDxfId="199" dataCellStyle="Связанная ячейка"/>
    <tableColumn id="23" xr3:uid="{1259C1D1-F564-4A60-AED0-29092D9824B4}" name="COST PRICE $PURCHASE" dataDxfId="198" totalsRowDxfId="197" dataCellStyle="Связанная ячейка">
      <calculatedColumnFormula>TabSpecificationWork_1[[#This Row],[QUANTITY TOTAL]]*TabSpecificationWork_1[[#This Row],[PRICE UNIT $PURCHASE]]</calculatedColumnFormula>
    </tableColumn>
    <tableColumn id="30" xr3:uid="{E22646A7-94DC-4E7B-A533-432F4A49C6CB}" name="COST PRICE VAT $PURCHASE" dataDxfId="196" totalsRowDxfId="195" dataCellStyle="Связанная ячейка">
      <calculatedColumnFormula>TabSpecificationWork_1[[#This Row],[VAT ADD PRICE $PURCHASE]]*TabSpecificationWork_1[[#This Row],[QUANTITY TOTAL]]+TabSpecificationWork_1[[#This Row],[COST PRICE $PURCHASE]]</calculatedColumnFormula>
    </tableColumn>
    <tableColumn id="24" xr3:uid="{A6A3F092-CC96-46D5-9750-8770946F9610}" name="TCP SOURCE" dataDxfId="194" totalsRowDxfId="193" dataCellStyle="Связанная ячейка"/>
    <tableColumn id="26" xr3:uid="{5CD0038A-FD64-402C-8800-8B95AEF689DE}" name="COMMENT WORK" dataDxfId="192" totalsRowDxfId="191"/>
    <tableColumn id="27" xr3:uid="{C5B1D56B-BB5C-46C8-BCB3-C103FD40F536}" name="URL PRODUCT" dataDxfId="190" totalsRowDxfId="189"/>
    <tableColumn id="28" xr3:uid="{7B50AE56-BBC4-4A38-8A4E-3353F30717A3}" name="IMAGE PRODUCT" totalsRowFunction="count" dataDxfId="188" totalsRowDxfId="187"/>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2FA2E-0933-4796-BA9B-C86666372FE4}" name="TabSpecificationWork_2" displayName="TabSpecificationWork_2" ref="F1:W70" headerRowDxfId="286" dataDxfId="285">
  <autoFilter ref="F1:W70" xr:uid="{39D2FA2E-0933-4796-BA9B-C86666372FE4}">
    <filterColumn colId="0">
      <customFilters and="1">
        <customFilter val="*n3*"/>
        <customFilter val="*true*"/>
      </customFilters>
    </filterColumn>
  </autoFilter>
  <tableColumns count="18">
    <tableColumn id="1" xr3:uid="{2D35AB6D-689E-4581-BFB5-254603E305B8}" name="HASH COLLECTION" totalsRowLabel="Итог" dataDxfId="284" totalsRowDxfId="283">
      <calculatedColumnFormula>E2</calculatedColumnFormula>
    </tableColumn>
    <tableColumn id="2" xr3:uid="{1FF74755-B711-4353-9FE3-236304C8C10A}" name="COEFFICIENT MARKUP" dataDxfId="282" totalsRowDxfId="281"/>
    <tableColumn id="3" xr3:uid="{C9DF27EE-C3F5-48EA-8A9F-08703557C240}" name="PRICE UNIT $SALE" dataDxfId="280" totalsRowDxfId="279" dataCellStyle="Финансовый">
      <calculatedColumnFormula>TabSpecificationWork_2[[#This Row],[COEFFICIENT MARKUP]]*TabSpecificationWork_1[[#This Row],[PRICE UNIT $PURCHASE]]</calculatedColumnFormula>
    </tableColumn>
    <tableColumn id="4" xr3:uid="{13E50560-E3A1-4918-9A72-E170AD0ED179}" name="COST DEAL $SALE" dataDxfId="278" totalsRowDxfId="277">
      <calculatedColumnFormula>TabSpecificationWork_1[[#This Row],[QUANTITY TOTAL]]*TabSpecificationWork_2[[#This Row],[PRICE UNIT $SALE]]</calculatedColumnFormula>
    </tableColumn>
    <tableColumn id="5" xr3:uid="{2ADC428A-1173-4D5A-9D2F-6AB8F3260492}" name="DISCOUNT PERCENT" dataDxfId="276" totalsRowDxfId="275"/>
    <tableColumn id="6" xr3:uid="{55B81372-0275-4435-8DD1-08DE134AE7CF}" name="DISCOUNT MONEY" dataDxfId="274" totalsRowDxfId="273" dataCellStyle="Финансовый">
      <calculatedColumnFormula>(TabSpecificationWork_2[[#This Row],[COST DEAL $SALE]]/100)*TabSpecificationWork_2[[#This Row],[DISCOUNT PERCENT]]</calculatedColumnFormula>
    </tableColumn>
    <tableColumn id="7" xr3:uid="{97734D3E-F1D4-4553-83AC-2FD721115591}" name="FORMULA SPECIFIC COST" dataDxfId="272" totalsRowDxfId="271"/>
    <tableColumn id="14" xr3:uid="{D7B68A30-8E83-45DF-8CC1-74E8F848D678}" name="VAT RATE CONTRACTOR $TOTAL" dataDxfId="270" totalsRowDxfId="269">
      <calculatedColumnFormula>_xlfn.LET(
    _xlpm.projNum, _xlfn.XLOOKUP(TabSpecificationWork_2[[#This Row],[HASH COLLECTION]], TabSpecificationWork_1[HASH COLLECTION], TabSpecificationWork_1[NUM PROJECT], ""),
    _xlpm.company, UPPER(TRIM(_xlfn.TEXTAFTER(_xlpm.projNum, "-", 2))),
    IF(_xlpm.company="ГОРИЗОНТ", 0.22, 0)
)</calculatedColumnFormula>
    </tableColumn>
    <tableColumn id="8" xr3:uid="{7F91BE1C-6777-472B-9705-6FEAA341F9E4}" name="PRICE UNIT $TOTAL" dataDxfId="268" totalsRowDxfId="267" dataCellStyle="Финансовый">
      <calculatedColumnFormula>TabSpecificationWork_2[[#This Row],[PRICE UNIT $SALE]]</calculatedColumnFormula>
    </tableColumn>
    <tableColumn id="15" xr3:uid="{02D7F0B7-1820-4501-A308-119A82255F82}" name="VAT ADD PRICE UNIT $TOTAL" dataDxfId="266" totalsRowDxfId="265" dataCellStyle="Финансовый">
      <calculatedColumnFormula>TabSpecificationWork_2[[#This Row],[PRICE UNIT $TOTAL]] * TabSpecificationWork_2[[#This Row],[VAT RATE CONTRACTOR $TOTAL]]</calculatedColumnFormula>
    </tableColumn>
    <tableColumn id="16" xr3:uid="{A366C5F5-93AB-4564-A73C-1BE62A7FB420}" name="PRICE VAT UNIT $TOTAL" dataDxfId="264" totalsRowDxfId="263" dataCellStyle="Финансовый">
      <calculatedColumnFormula>TabSpecificationWork_2[[#This Row],[PRICE UNIT $TOTAL]] + TabSpecificationWork_2[[#This Row],[VAT ADD PRICE UNIT $TOTAL]]</calculatedColumnFormula>
    </tableColumn>
    <tableColumn id="9" xr3:uid="{F2DD7380-C2AA-4B5D-9F95-BF99066D156C}" name="COST $TOTAL" totalsRowFunction="sum" dataDxfId="262" totalsRowDxfId="261">
      <calculatedColumnFormula>TabSpecificationWork_2[[#This Row],[COST DEAL $SALE]]-TabSpecificationWork_2[[#This Row],[DISCOUNT MONEY]]</calculatedColumnFormula>
    </tableColumn>
    <tableColumn id="17" xr3:uid="{DA0391AF-C0CB-4566-9660-F446B432E374}" name="COST ADD VAT $TOTAL" dataDxfId="260" totalsRowDxfId="259">
      <calculatedColumnFormula>TabSpecificationWork_2[[#This Row],[COST $TOTAL]] * TabSpecificationWork_2[[#This Row],[VAT RATE CONTRACTOR $TOTAL]]</calculatedColumnFormula>
    </tableColumn>
    <tableColumn id="18" xr3:uid="{E88F4D99-BABC-4145-AF83-6C46AEA0AEF1}" name="COST VAT $TOTAL" totalsRowFunction="sum" dataDxfId="258" totalsRowDxfId="257">
      <calculatedColumnFormula>TabSpecificationWork_2[[#This Row],[COST $TOTAL]] + TabSpecificationWork_2[[#This Row],[COST ADD VAT $TOTAL]]</calculatedColumnFormula>
    </tableColumn>
    <tableColumn id="10" xr3:uid="{6B388F0D-214D-47C1-9BDE-C5B75AE170F9}" name="DURATION SALE $TOTAL" dataDxfId="256" totalsRowDxfId="255"/>
    <tableColumn id="11" xr3:uid="{F0C19BA4-14CD-46D7-9589-E18338973F4F}" name="isSUPPLIED" dataDxfId="254" totalsRowDxfId="253"/>
    <tableColumn id="12" xr3:uid="{0A11BEAE-757A-4C41-869F-EC42034A4E09}" name="isPROCESSING" dataDxfId="252" totalsRowDxfId="251"/>
    <tableColumn id="13" xr3:uid="{BB13BB81-0814-4356-8E31-92626816A46D}" name="COMMENT CUSTOMER" dataDxfId="250" totalsRowDxfId="249"/>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71F67-2D12-4975-AE30-A22C979C2BA1}" name="TabSpecificationWork" displayName="TabSpecificationWork" ref="A1:AU70" tableType="queryTable" headerRowDxfId="186">
  <autoFilter ref="A1:AU70" xr:uid="{54871F67-2D12-4975-AE30-A22C979C2BA1}"/>
  <tableColumns count="47">
    <tableColumn id="1" xr3:uid="{DF5F1AE5-7188-4873-9B43-AA856EED46B2}" uniqueName="1" name="IDnum" queryTableFieldId="1" dataDxfId="42" totalsRowDxfId="185"/>
    <tableColumn id="2" xr3:uid="{CE1B78A7-F713-475B-A081-267866FA36FF}" uniqueName="2" name="IDsource" queryTableFieldId="2" dataDxfId="41" totalsRowDxfId="184"/>
    <tableColumn id="3" xr3:uid="{99C3FFBE-B09A-4E17-8764-3208510986F2}" uniqueName="3" name="NUM PROJECT" queryTableFieldId="3" dataDxfId="40" totalsRowDxfId="183"/>
    <tableColumn id="4" xr3:uid="{764AE984-47C0-42D7-B7A4-DAF96FA77B7D}" uniqueName="4" name="NUM ORDER" queryTableFieldId="4" dataDxfId="39" totalsRowDxfId="182"/>
    <tableColumn id="5" xr3:uid="{0F394EC3-840C-4AD4-BD3C-F9A1F0F08C22}" uniqueName="5" name="VER COLLECTION" queryTableFieldId="5" dataDxfId="38" totalsRowDxfId="181"/>
    <tableColumn id="6" xr3:uid="{0260A494-B10A-418B-918B-98FE265FA8EC}" uniqueName="6" name="DESCRIPTION SET" queryTableFieldId="6" dataDxfId="37" totalsRowDxfId="180"/>
    <tableColumn id="7" xr3:uid="{8F6F80F9-7D76-4812-A190-E220BE291249}" uniqueName="7" name="IDset" queryTableFieldId="7" dataDxfId="36" totalsRowDxfId="179"/>
    <tableColumn id="8" xr3:uid="{3AF82789-BEAC-4A80-AD19-A668F8674054}" uniqueName="8" name="NUM SEQUENCE SET" queryTableFieldId="8" dataDxfId="35" totalsRowDxfId="178"/>
    <tableColumn id="9" xr3:uid="{75941281-287C-4E6B-9F5E-801BE4E0BBFD}" uniqueName="9" name="NUM FULL SET" queryTableFieldId="9" dataDxfId="34" totalsRowDxfId="177"/>
    <tableColumn id="10" xr3:uid="{CBDC51D1-5CF1-4AF7-A2AD-5C7136B968ED}" uniqueName="10" name="isSHIPPED" queryTableFieldId="10" dataDxfId="33" totalsRowDxfId="176"/>
    <tableColumn id="11" xr3:uid="{3C27B005-CE14-420D-BC97-288ADB6D0368}" uniqueName="11" name="HASH COLLECTION" queryTableFieldId="11" dataDxfId="32" totalsRowDxfId="175"/>
    <tableColumn id="12" xr3:uid="{9110CB2C-91C3-4154-8CA5-2DADA4B7D411}" uniqueName="12" name="NAME PRODUCT" queryTableFieldId="12" dataDxfId="31" totalsRowDxfId="174"/>
    <tableColumn id="13" xr3:uid="{90531F86-3CC0-4A74-A24F-7D872D53F6E9}" uniqueName="13" name="DESCRIPTION PRODUCT" queryTableFieldId="13" dataDxfId="30" totalsRowDxfId="173"/>
    <tableColumn id="14" xr3:uid="{2154DB83-AB5F-4F8A-9516-9112EFC20278}" uniqueName="14" name="BRAND" queryTableFieldId="14" dataDxfId="29" totalsRowDxfId="172"/>
    <tableColumn id="15" xr3:uid="{E9E41D37-3666-4C88-A927-870DF8549706}" uniqueName="15" name="SUPPLIER" queryTableFieldId="15" dataDxfId="28" totalsRowDxfId="171"/>
    <tableColumn id="16" xr3:uid="{1DE3409F-879C-492E-B4F8-29B70A6FC7B8}" uniqueName="16" name="ARTICLE SUPPLIER" queryTableFieldId="16" dataDxfId="27" totalsRowDxfId="170"/>
    <tableColumn id="17" xr3:uid="{721C9660-5C97-4D0E-89E4-17B401FD0F84}" uniqueName="17" name="ARTICLE INTERNAL" queryTableFieldId="17" dataDxfId="26" totalsRowDxfId="169"/>
    <tableColumn id="18" xr3:uid="{2533A0D1-7B55-47F4-AA96-A6C3F4EBFAEA}" uniqueName="18" name="UNITS" queryTableFieldId="18" dataDxfId="25" totalsRowDxfId="168"/>
    <tableColumn id="19" xr3:uid="{00D1AAD1-964D-48C0-BB59-E56CB75BCB51}" uniqueName="19" name="QUANTITY SET" queryTableFieldId="19" dataDxfId="24" totalsRowDxfId="167"/>
    <tableColumn id="20" xr3:uid="{D426565C-C10A-437E-B01A-91BC16F4B675}" uniqueName="20" name="QUANTITY SHIPPED SET" queryTableFieldId="20" dataDxfId="23" totalsRowDxfId="166"/>
    <tableColumn id="21" xr3:uid="{AFC5E262-A770-4955-8BCC-DD6861BFC129}" uniqueName="21" name="QUANTITY TOTAL" queryTableFieldId="21" dataDxfId="22" totalsRowDxfId="165"/>
    <tableColumn id="22" xr3:uid="{1D95DF30-33C2-49FF-80A1-EBB02994823A}" uniqueName="22" name="QUANTITY SUPPLIER" queryTableFieldId="22" dataDxfId="21" totalsRowDxfId="164"/>
    <tableColumn id="23" xr3:uid="{511E0C5F-5CFD-4EDF-A437-A9D058B026DD}" uniqueName="23" name="PRICE UNIT $PURCHASE" queryTableFieldId="23" dataDxfId="20" totalsRowDxfId="163" dataCellStyle="Финансовый"/>
    <tableColumn id="27" xr3:uid="{7637B072-5802-4C86-946C-06CA2A7B65C2}" uniqueName="27" name="VAT ADD PRICE $PURCHASE" queryTableFieldId="41" dataDxfId="19" dataCellStyle="Финансовый"/>
    <tableColumn id="24" xr3:uid="{C1FDDDCD-E283-41A2-AAC0-C014C473A61C}" uniqueName="24" name="COST PRICE $PURCHASE" queryTableFieldId="24" dataDxfId="18" totalsRowDxfId="162" dataCellStyle="Финансовый"/>
    <tableColumn id="41" xr3:uid="{0E418949-4A09-468E-B473-5CC535F54A67}" uniqueName="41" name="COST PRICE VAT $PURCHASE" queryTableFieldId="42" dataDxfId="17" dataCellStyle="Финансовый"/>
    <tableColumn id="25" xr3:uid="{818A6D8C-EBA1-4A16-BF0B-59653F72BCE4}" uniqueName="25" name="TCP SOURCE" queryTableFieldId="25" dataDxfId="16" totalsRowDxfId="161"/>
    <tableColumn id="26" xr3:uid="{C9B8616F-09F2-490F-AF62-4D6E6D1E1A65}" uniqueName="26" name="COMMENT WORK" queryTableFieldId="26" dataDxfId="15" totalsRowDxfId="160"/>
    <tableColumn id="42" xr3:uid="{D6865B7E-D156-4FDB-A885-C5E9E30C6387}" uniqueName="42" name="URL PRODUCT" queryTableFieldId="43"/>
    <tableColumn id="28" xr3:uid="{2AA7B214-CAF9-4CE4-942B-EF1E3FF98722}" uniqueName="28" name="IMAGE PRODUCT" queryTableFieldId="28" dataDxfId="14" totalsRowDxfId="159"/>
    <tableColumn id="29" xr3:uid="{9FC09D58-909D-48ED-8560-D0FE60D67535}" uniqueName="29" name="COEFFICIENT MARKUP" queryTableFieldId="29" dataDxfId="13" totalsRowDxfId="158"/>
    <tableColumn id="30" xr3:uid="{BD8DAA5E-F542-4FF8-9712-26B71CD200A6}" uniqueName="30" name="PRICE UNIT $SALE" queryTableFieldId="30" dataDxfId="12" totalsRowDxfId="157" dataCellStyle="Финансовый"/>
    <tableColumn id="31" xr3:uid="{E83CD106-0B97-4753-8BF7-35E681B2B86F}" uniqueName="31" name="COST DEAL $SALE" queryTableFieldId="31" dataDxfId="11" totalsRowDxfId="156" dataCellStyle="Финансовый"/>
    <tableColumn id="32" xr3:uid="{BAEAA1AB-9871-4F42-BCDC-B26BBE61BEEB}" uniqueName="32" name="DISCOUNT PERCENT" queryTableFieldId="32" dataDxfId="10" totalsRowDxfId="155"/>
    <tableColumn id="33" xr3:uid="{E2CFB9D9-1C59-476E-B9FB-62B5E9C01D55}" uniqueName="33" name="DISCOUNT MONEY" queryTableFieldId="33" dataDxfId="9" totalsRowDxfId="154"/>
    <tableColumn id="34" xr3:uid="{8C0C03A1-05FD-4BD8-A2B1-8EF84BD1008E}" uniqueName="34" name="FORMULA SPECIFIC COST" queryTableFieldId="34" dataDxfId="8" totalsRowDxfId="153"/>
    <tableColumn id="43" xr3:uid="{42BBEE87-52BE-4958-A720-5FD49077BC8B}" uniqueName="43" name="VAT RATE CONTRACTOR $TOTAL" queryTableFieldId="44"/>
    <tableColumn id="35" xr3:uid="{12C5116F-4492-4F5C-9A2E-1378B1915F88}" uniqueName="35" name="PRICE UNIT $TOTAL" queryTableFieldId="35" dataDxfId="7" totalsRowDxfId="152" dataCellStyle="Финансовый"/>
    <tableColumn id="44" xr3:uid="{1F9BBD81-C4E8-4FBE-BD26-9FFDCF1B4575}" uniqueName="44" name="VAT ADD PRICE UNIT $TOTAL" queryTableFieldId="45" dataDxfId="6" dataCellStyle="Финансовый"/>
    <tableColumn id="45" xr3:uid="{928F8E97-0336-4465-8430-A6210A6482CB}" uniqueName="45" name="PRICE VAT UNIT $TOTAL" queryTableFieldId="46"/>
    <tableColumn id="36" xr3:uid="{10F79B55-D906-4B97-AA3E-271E7B1C8A4B}" uniqueName="36" name="COST $TOTAL" totalsRowFunction="sum" queryTableFieldId="36" dataDxfId="5" totalsRowDxfId="151" dataCellStyle="Финансовый"/>
    <tableColumn id="46" xr3:uid="{0734288C-52C2-496C-AC8C-C62FE95F9C34}" uniqueName="46" name="COST ADD VAT $TOTAL" queryTableFieldId="47" dataDxfId="4" dataCellStyle="Финансовый"/>
    <tableColumn id="47" xr3:uid="{13A7F21E-0BA5-4F43-B415-ED09059D2A37}" uniqueName="47" name="COST VAT $TOTAL" queryTableFieldId="48"/>
    <tableColumn id="37" xr3:uid="{C5E63DF1-F8E4-4EF0-AC37-9F4CC6A16ABB}" uniqueName="37" name="DURATION SALE $TOTAL" queryTableFieldId="37" dataDxfId="3" totalsRowDxfId="150"/>
    <tableColumn id="38" xr3:uid="{7B53041D-6260-419D-BAD3-3EBE19FF1568}" uniqueName="38" name="isSUPPLIED" queryTableFieldId="38" dataDxfId="2" totalsRowDxfId="149"/>
    <tableColumn id="39" xr3:uid="{D4A6342C-5871-4CA9-A661-98624B345000}" uniqueName="39" name="isPROCESSING" queryTableFieldId="39" dataDxfId="1" totalsRowDxfId="148"/>
    <tableColumn id="40" xr3:uid="{A772586E-91D6-4DDE-930D-ACBD2A4B99AF}" uniqueName="40" name="COMMENT CUSTOMER" totalsRowFunction="count" queryTableFieldId="40" dataDxfId="0" totalsRowDxfId="147"/>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433A3F-ADAB-41AD-A83C-B8719B434348}" name="TabHandbookProject" displayName="TabHandbookProject" ref="A1:E173" tableType="queryTable" totalsRowShown="0" headerRowDxfId="112">
  <autoFilter ref="A1:E173" xr:uid="{3A433A3F-ADAB-41AD-A83C-B8719B434348}"/>
  <tableColumns count="5">
    <tableColumn id="1" xr3:uid="{C487BB0B-A74A-4616-AA9E-407431A85BFC}" uniqueName="1" name="IDnum" queryTableFieldId="1" dataDxfId="111"/>
    <tableColumn id="3" xr3:uid="{F351F0EA-2D55-4541-847A-8F6662601956}" uniqueName="3" name="HASH COLLECTION" queryTableFieldId="3"/>
    <tableColumn id="2" xr3:uid="{168C039B-A25B-49BE-91E6-DAEAAADDE735}" uniqueName="2" name="IDprojectfull" queryTableFieldId="2" dataDxfId="110"/>
    <tableColumn id="4" xr3:uid="{9BD3B050-3189-4D01-BBD7-EEF0BA22FBD0}" uniqueName="4" name="GENERAL CONTRACTOR" queryTableFieldId="4"/>
    <tableColumn id="5" xr3:uid="{B8060009-E74C-422A-AB17-BD990B57E765}" uniqueName="5" name="PROJECT CHIEF ENGINEER" queryTableFieldId="5"/>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887490-69AA-4135-92BA-FDCE6065A4CB}" name="TabVendorAndBrand" displayName="TabVendorAndBrand" ref="A1:B88" tableType="queryTable" totalsRowShown="0" headerRowDxfId="109">
  <autoFilter ref="A1:B88" xr:uid="{4E887490-69AA-4135-92BA-FDCE6065A4CB}"/>
  <tableColumns count="2">
    <tableColumn id="1" xr3:uid="{0DBAC820-4087-47C0-959D-632D92880DC9}" uniqueName="1" name="IDvendor" queryTableFieldId="1" dataDxfId="108"/>
    <tableColumn id="2" xr3:uid="{ACA97C16-8ED5-48D0-9EFD-86BF94F0564C}" uniqueName="2" name="BRAND" queryTableFieldId="2" dataDxfId="107"/>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8D7691-FE5D-4204-AC5B-CA00F9A9E0CA}" name="TabHandbookSupplier" displayName="TabHandbookSupplier" ref="A1:B48" tableType="queryTable" totalsRowShown="0" headerRowDxfId="106">
  <autoFilter ref="A1:B48" xr:uid="{968D7691-FE5D-4204-AC5B-CA00F9A9E0CA}"/>
  <tableColumns count="2">
    <tableColumn id="1" xr3:uid="{2D9F11F8-FFAE-4157-A076-BC36BB0461A3}" uniqueName="1" name="IDsupplier" queryTableFieldId="3" dataDxfId="105"/>
    <tableColumn id="2" xr3:uid="{EBE9B7B3-3339-42ED-8C41-106A413D6B38}" uniqueName="2" name="COMPANY_LABEL" queryTableFieldId="2" dataDxfId="104"/>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0C369D-4EF9-4630-BBCA-A757CC89C26E}" name="TabHandbookUnit" displayName="TabHandbookUnit" ref="A1:B5" tableType="queryTable" totalsRowShown="0" headerRowDxfId="103">
  <autoFilter ref="A1:B5" xr:uid="{650C369D-4EF9-4630-BBCA-A757CC89C26E}"/>
  <tableColumns count="2">
    <tableColumn id="1" xr3:uid="{10BDB9F9-CCA3-439E-BF2C-EC6B9B458BCC}" uniqueName="1" name="IDnum" queryTableFieldId="1"/>
    <tableColumn id="2" xr3:uid="{0D5BE12D-F314-42B9-A7B7-69139DB2E84E}" uniqueName="2" name="UNITS" queryTableFieldId="2" dataDxfId="102"/>
  </tableColumns>
  <tableStyleInfo name="TableStyleMedium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49" headerRowDxfId="101" dataDxfId="100" tableBorderDxfId="99">
  <autoFilter ref="A1:Q49" xr:uid="{759773E5-6BB4-4A7F-A27E-2BF5D48F2E04}"/>
  <tableColumns count="17">
    <tableColumn id="1" xr3:uid="{E6BB4E5D-0C94-42D4-8C3E-4A911A823492}" name="TABLE NAME" totalsRowLabel="Итог" dataDxfId="98" totalsRowDxfId="97"/>
    <tableColumn id="9" xr3:uid="{8E76A267-9A59-489D-8043-2804945CE301}" name="NUM COLUMN" totalsRowFunction="count" dataDxfId="96" totalsRowDxfId="95"/>
    <tableColumn id="2" xr3:uid="{BEB7F216-285D-4701-BA72-477EC26D3B62}" name="СOLUMNS NAME" dataDxfId="94" totalsRowDxfId="93"/>
    <tableColumn id="4" xr3:uid="{A7B1D50C-5D59-4B32-A7C3-9AA74B7404D4}" name="COLUMN NAME RUS" dataDxfId="92" totalsRowDxfId="91"/>
    <tableColumn id="6" xr3:uid="{1416325B-2E3B-4C34-BB33-AAB8A31EF82D}" name="TYPE DATASET" dataDxfId="90" totalsRowDxfId="89"/>
    <tableColumn id="5" xr3:uid="{CA8100E0-9D72-4767-B0B8-4AD4DE71B1E3}" name="RANGE VALUES" dataDxfId="88" totalsRowDxfId="87"/>
    <tableColumn id="13" xr3:uid="{3A92C78A-FF7E-4E7E-8419-C0B9B7A58E47}" name="UNIQUE FLAG" dataDxfId="86" totalsRowDxfId="85"/>
    <tableColumn id="8" xr3:uid="{2396727F-9D04-4743-BB44-C8C0E33C757B}" name="NULL VALUE" dataDxfId="84" totalsRowDxfId="83"/>
    <tableColumn id="12" xr3:uid="{C4725C6D-3039-490B-BB41-A5171ECFACD8}" name="isAUTOMATIC" dataDxfId="82" totalsRowDxfId="81"/>
    <tableColumn id="7" xr3:uid="{40580CDE-6E19-4C7A-9755-F526449CFCB9}" name="MODIFY FLAG" dataDxfId="80" totalsRowDxfId="79"/>
    <tableColumn id="10" xr3:uid="{CB15A236-A81C-4BD2-9F8C-B1E9D304D57D}" name="HANDBOOK SOURCE" dataDxfId="78" totalsRowDxfId="77"/>
    <tableColumn id="15" xr3:uid="{FEB2FEB8-B9A8-4D97-89C7-C11A7ECC74BF}" name="DROPDOWN LIST" dataDxfId="76" totalsRowDxfId="75"/>
    <tableColumn id="14" xr3:uid="{39517DFD-8E84-4512-AD3B-8EEF3F2A14BD}" name="EXCEL TYPE" dataDxfId="74" totalsRowDxfId="73"/>
    <tableColumn id="16" xr3:uid="{4AF43F77-9EB9-4FE8-A6CD-1C506E0C165A}" name="VERTICAL ALIGNMENT" totalsRowFunction="count" dataDxfId="72" totalsRowDxfId="71"/>
    <tableColumn id="17" xr3:uid="{F3337072-6BBA-4D07-99C5-D8BE0F50993F}" name="HORIZONTAL ALIGNMENT" dataDxfId="70" totalsRowDxfId="69"/>
    <tableColumn id="18" xr3:uid="{D292290F-9084-4A4E-B39B-7270E72B4D63}" name="TRANSFER TEXT" dataDxfId="68" totalsRowDxfId="67"/>
    <tableColumn id="3" xr3:uid="{99264B45-CF4D-4029-A10F-DE7DEC72AEAA}" name="COMMENT" totalsRowFunction="count" dataDxfId="66" totalsRowDxfId="65"/>
  </tableColumns>
  <tableStyleInfo name="TableStyleMedium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3" totalsRowShown="0" headerRowDxfId="64">
  <autoFilter ref="A1:D3" xr:uid="{F15A7DFF-0CC5-4C4C-9A2B-B1F378111DBF}"/>
  <tableColumns count="4">
    <tableColumn id="1" xr3:uid="{EADDD526-A1BB-49E7-8C12-FF9F560ED170}" name="IDnum" dataDxfId="63"/>
    <tableColumn id="4" xr3:uid="{98DCC295-85E8-47DA-AFBD-C60F8D2289C3}" name="IDconfig" dataDxfId="62"/>
    <tableColumn id="2" xr3:uid="{DA12A670-2981-4AD6-9AD6-55CE1D69B953}" name="CONFIG_JSON" dataDxfId="61"/>
    <tableColumn id="3" xr3:uid="{A974DE38-498A-4F17-8A6B-82651D251480}" name="COMMENT" dataDxfId="60"/>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9-10T06:18:57.01" personId="{546BDB3A-668A-4D8C-87A8-0DE14755FBE5}" id="{F6344F8B-2B3A-40F5-94E4-16B7A498AB48}">
    <text>Уникальный порядковый номер позиции</text>
  </threadedComment>
  <threadedComment ref="B1" dT="2025-09-10T06:19:15.78" personId="{546BDB3A-668A-4D8C-87A8-0DE14755FBE5}" id="{E3D9B2AC-BF73-467B-B4DB-9A01321331B9}">
    <text>Порядковый номер позиции из спецификации заказчика</text>
  </threadedComment>
  <threadedComment ref="C1" dT="2025-09-10T06:19:43.07" personId="{546BDB3A-668A-4D8C-87A8-0DE14755FBE5}" id="{8F981E2E-A069-4F7D-B569-584150EAACC6}">
    <text>Полный номер проекта из таблицы реестр проектов</text>
  </threadedComment>
  <threadedComment ref="D1" dT="2025-09-10T06:19:57.74" personId="{546BDB3A-668A-4D8C-87A8-0DE14755FBE5}" id="{7960CCAA-C85E-4532-A46A-96785E4D240A}">
    <text>ВЫЧИСЛЯЕМЫЙ СТОЛБЕЦ, РУКАМИ НЕ ЗАПОЛНЯТЬ ! Номер заказа в рамках проекта из списка заказов</text>
  </threadedComment>
  <threadedComment ref="E1" dT="2025-09-10T06:20:21.43" personId="{546BDB3A-668A-4D8C-87A8-0DE14755FBE5}" id="{FE809EA2-7E50-4AEF-ADD4-15BD881CFCA5}">
    <text>Версия коллекции - число. Под КОЛЛЕКЦИЕЙ понимается объект данных который описывает стока, она же одна запись датасета</text>
  </threadedComment>
  <threadedComment ref="F1" dT="2025-09-10T06:22:14.10" personId="{546BDB3A-668A-4D8C-87A8-0DE14755FBE5}" id="{FE5A4F88-C626-4813-B9F6-AC623AC19292}">
    <text>Название комплекта</text>
  </threadedComment>
  <threadedComment ref="G1" dT="2025-09-10T06:20:38.79" personId="{546BDB3A-668A-4D8C-87A8-0DE14755FBE5}" id="{5D52B54C-0708-4CA1-A0BC-47334CF09CE6}">
    <text xml:space="preserve">Свободный (число или текст - латиницей) идентификатор комплекта
</text>
  </threadedComment>
  <threadedComment ref="H1" dT="2025-09-10T06:21:08.34" personId="{546BDB3A-668A-4D8C-87A8-0DE14755FBE5}" id="{70842CBF-5120-4049-9941-DC7047DC8A17}">
    <text>Порядковый номер позиции в комплекте</text>
  </threadedComment>
  <threadedComment ref="I1" dT="2025-09-10T06:21:57.11" personId="{546BDB3A-668A-4D8C-87A8-0DE14755FBE5}" id="{F4A88E00-01BF-4A9D-BB00-CA966B2636D4}">
    <text>Автоматически заполняемый столбец.
Полный порядковый номер позиции, состоящий из номер комплекта и номера порядкового в комплекте</text>
  </threadedComment>
  <threadedComment ref="J1" dT="2025-10-15T06:44:08.57" personId="{546BDB3A-668A-4D8C-87A8-0DE14755FBE5}" id="{890F2321-773B-4860-984E-8BC625841E0A}">
    <text>Признак поставки позиции в данном заказе</text>
  </threadedComment>
  <threadedComment ref="K1" dT="2025-09-10T06:22:32.64" personId="{546BDB3A-668A-4D8C-87A8-0DE14755FBE5}" id="{2C22FD44-0F6F-4613-A453-FA7B515CF251}">
    <text>Автоматически заполняемый столбец.
Уникальное хэш значение, характеризуемое текущую коллекцию</text>
  </threadedComment>
  <threadedComment ref="L1" dT="2025-09-10T06:22:51.38" personId="{546BDB3A-668A-4D8C-87A8-0DE14755FBE5}" id="{BE27801C-0731-473F-8682-66560F0BB1E4}">
    <text>Наименование позиции</text>
  </threadedComment>
  <threadedComment ref="M1" dT="2025-09-10T06:23:14.32" personId="{546BDB3A-668A-4D8C-87A8-0DE14755FBE5}" id="{BF2CA57A-7DA7-402D-98F7-C3C603B6B406}">
    <text>Технические характеристики позиции</text>
  </threadedComment>
  <threadedComment ref="N1" dT="2025-09-10T06:24:28.46" personId="{546BDB3A-668A-4D8C-87A8-0DE14755FBE5}" id="{04599C53-D9FA-49F2-923B-EDB75AD601A2}">
    <text>Название бренда производителя</text>
  </threadedComment>
  <threadedComment ref="O1" dT="2025-09-10T06:24:46.85" personId="{546BDB3A-668A-4D8C-87A8-0DE14755FBE5}" id="{6F577B15-DEC3-4280-BB97-E6CA976D117B}">
    <text>Название поставщика</text>
  </threadedComment>
  <threadedComment ref="P1" dT="2025-09-10T06:26:07.88" personId="{546BDB3A-668A-4D8C-87A8-0DE14755FBE5}" id="{558DC68A-31E6-40BF-8F27-3467FE25D98D}">
    <text>Артикул поставщика</text>
  </threadedComment>
  <threadedComment ref="Q1" dT="2025-09-10T06:26:45.10" personId="{546BDB3A-668A-4D8C-87A8-0DE14755FBE5}" id="{397FFE0C-F713-4E2F-B787-8428280F9203}">
    <text>Артикул МАС/Горизонт</text>
  </threadedComment>
  <threadedComment ref="R1" dT="2025-09-10T06:28:10.67" personId="{546BDB3A-668A-4D8C-87A8-0DE14755FBE5}" id="{635CA893-B3CA-47BA-8F79-B4074D2943AC}">
    <text>Единицы измерения из справочника</text>
  </threadedComment>
  <threadedComment ref="S1" dT="2025-09-10T06:28:26.65" personId="{546BDB3A-668A-4D8C-87A8-0DE14755FBE5}" id="{8620B4C4-3914-40DF-A218-4F9092ACBCCC}">
    <text>Количество единиц данной позиции в комплекте</text>
  </threadedComment>
  <threadedComment ref="T1" dT="2025-09-10T06:28:45.20" personId="{546BDB3A-668A-4D8C-87A8-0DE14755FBE5}" id="{0B7C2C1D-3BA7-464A-8F40-BB11C8377876}">
    <text>Количество комплектов в поставке</text>
  </threadedComment>
  <threadedComment ref="U1" dT="2025-09-10T06:28:59.02" personId="{546BDB3A-668A-4D8C-87A8-0DE14755FBE5}" id="{A6B4B6DF-DD2A-463F-A7C3-7F87B17D3385}">
    <text>Автоматически заполняемый столбец.
Итоговое количество по данной позиции в поставке</text>
  </threadedComment>
  <threadedComment ref="V1" dT="2025-09-10T06:29:14.46" personId="{546BDB3A-668A-4D8C-87A8-0DE14755FBE5}" id="{2815824D-89DB-4994-9B34-7D12489A7D8C}">
    <text>Количество в наличии у поставщика</text>
  </threadedComment>
  <threadedComment ref="W1" dT="2025-09-10T06:29:28.82" personId="{546BDB3A-668A-4D8C-87A8-0DE14755FBE5}" id="{BC32CEEA-6CCC-42A0-9D55-CD12DF19372E}">
    <text>Цена за единицу - закупка</text>
  </threadedComment>
  <threadedComment ref="X1" dT="2026-09-08T09:40:45.61" personId="{546BDB3A-668A-4D8C-87A8-0DE14755FBE5}" id="{DD218251-CF17-4800-B705-3E507BD24335}">
    <tex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ext>
  </threadedComment>
  <threadedComment ref="Y1" dT="2025-09-10T06:29:42.04" personId="{546BDB3A-668A-4D8C-87A8-0DE14755FBE5}" id="{1A2ACEFF-E713-463A-9D5B-54184A4CD29D}">
    <text xml:space="preserve">Себестоимость без НДС - закупка
Автоматически заполняемый столбец
</text>
  </threadedComment>
  <threadedComment ref="Z1" dT="2026-09-16T14:30:52.55" personId="{546BDB3A-668A-4D8C-87A8-0DE14755FBE5}" id="{A2183C8D-B3AF-4976-97A5-50EF84A0AF59}">
    <text>Себестоимость с НДС - закупка
Автоматически заполняемый столбец</text>
  </threadedComment>
  <threadedComment ref="AA1" dT="2025-09-10T06:34:12.78" personId="{546BDB3A-668A-4D8C-87A8-0DE14755FBE5}" id="{6339678F-4C5D-4328-BE94-531FC243752F}">
    <text>Идентификатор спецификации поставщика/дистрибьютера, на основе которой сформирована цена позиции. Из справочника ТКП поставщиков</text>
  </threadedComment>
  <threadedComment ref="AB1" dT="2025-09-10T06:30:32.88" personId="{546BDB3A-668A-4D8C-87A8-0DE14755FBE5}" id="{9A7C07C3-6A21-4EE8-BEF0-B48F9D85045A}">
    <text>Комментарии внутренний - ТОЛЬКО ДЛЯ ВНУТРЕННЕГО СЛУЖЕБНОГО ПОЛЬЗОВАНИЯ. Полезная, дополнительная информация по позиции в свободной форме</text>
  </threadedComment>
  <threadedComment ref="AC1" dT="2026-09-08T18:25:15.92" personId="{546BDB3A-668A-4D8C-87A8-0DE14755FBE5}" id="{0FD87E57-4A0E-4B18-B9A5-14EFBAEA0360}">
    <text>Прямая ссылка на позицию на сайте производителя/поставщика</text>
  </threadedComment>
  <threadedComment ref="AD1" dT="2025-09-10T06:42:06.36" personId="{546BDB3A-668A-4D8C-87A8-0DE14755FBE5}" id="{FC3D7DDB-A80F-4FFB-9267-3E86088C3010}">
    <text>Прямая ссылка на позицию на сайте производителя/поставщика</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09-10T06:42:58.12" personId="{546BDB3A-668A-4D8C-87A8-0DE14755FBE5}" id="{309647A7-39FA-4D1C-9D34-F6589AA872B5}">
    <text>Автоматически заполняемый столбец.
Уникальное хэш значение, характеризуемое текущую коллекцию</text>
  </threadedComment>
  <threadedComment ref="G1" dT="2025-09-10T06:44:14.93" personId="{546BDB3A-668A-4D8C-87A8-0DE14755FBE5}" id="{CF0B5015-4158-4820-9F26-C26499DBA742}">
    <text>Коэффициент наценки</text>
  </threadedComment>
  <threadedComment ref="H1" dT="2025-09-10T06:45:02.12" personId="{546BDB3A-668A-4D8C-87A8-0DE14755FBE5}" id="{21F0EC38-F450-4B3D-9F20-24E0A5086D76}">
    <text>Цена за единицу - реализация
Автоматически заполняемый столбец</text>
  </threadedComment>
  <threadedComment ref="I1" dT="2025-09-10T06:48:58.47" personId="{546BDB3A-668A-4D8C-87A8-0DE14755FBE5}" id="{80AA62D7-622C-4FD5-BD05-73196064F988}">
    <text>Стоимость - реализация
Автоматически заполняемый столбец.</text>
  </threadedComment>
  <threadedComment ref="J1" dT="2025-09-10T06:46:39.88" personId="{546BDB3A-668A-4D8C-87A8-0DE14755FBE5}" id="{FD29CBDA-5DC6-4B24-8102-5F8F7BB14035}">
    <text>Скидка в процентах</text>
  </threadedComment>
  <threadedComment ref="K1" dT="2025-09-10T06:48:05.37" personId="{546BDB3A-668A-4D8C-87A8-0DE14755FBE5}" id="{63A27906-F095-41CD-A95D-65E7066FF0CA}">
    <text>Скидка в процентах
Автоматически заполняемый столбец.</text>
  </threadedComment>
  <threadedComment ref="L1" dT="2025-09-10T06:50:36.58" personId="{546BDB3A-668A-4D8C-87A8-0DE14755FBE5}" id="{1C6B5050-6CB5-4334-B0BF-D352BE35FCDD}">
    <text>Зарезервирована для будущих изменений в методиках расчета цены/стоимости</text>
  </threadedComment>
  <threadedComment ref="M1" dT="2026-09-08T10:54:36.31" personId="{546BDB3A-668A-4D8C-87A8-0DE14755FBE5}" id="{D0474F68-7DA7-4FC0-8BD1-134ECFB12491}">
    <text>Ставка НДС исполнителя (0.22 для ГОРИЗОНТ; 0.00 для МАС/ИП)
Автоматически заполняемый столбец</text>
  </threadedComment>
  <threadedComment ref="N1" dT="2025-09-10T06:51:06.38" personId="{546BDB3A-668A-4D8C-87A8-0DE14755FBE5}" id="{9096AD6D-0080-4F91-9D46-8ADB24D70A9C}">
    <text>Итоговая цена по позиции - реализация
Автоматически заполняемый столбец</text>
  </threadedComment>
  <threadedComment ref="O1" dT="2026-09-08T11:05:53.07" personId="{546BDB3A-668A-4D8C-87A8-0DE14755FBE5}" id="{F5520E19-1749-4935-937F-D330CD583E41}">
    <text>Исходящий НДС на ед.
Автоматически заполняемый столбец</text>
  </threadedComment>
  <threadedComment ref="P1" dT="2026-09-08T11:06:33.10" personId="{546BDB3A-668A-4D8C-87A8-0DE14755FBE5}" id="{CD8022F8-4810-4BA1-A1F9-0C15B5CF4AD3}">
    <text>Итоговая цена за ед. С НДС
Автоматически заполняемый столбец</text>
  </threadedComment>
  <threadedComment ref="Q1" dT="2025-09-10T06:51:25.57" personId="{546BDB3A-668A-4D8C-87A8-0DE14755FBE5}" id="{A186831B-F51A-48CE-8D1F-DD0498716A32}">
    <text xml:space="preserve">Итоговая стоимость по позиции - реализация
Автоматически заполняемый столбец
</text>
  </threadedComment>
  <threadedComment ref="R1" dT="2026-09-08T11:06:59.06" personId="{546BDB3A-668A-4D8C-87A8-0DE14755FBE5}" id="{7AB54C9D-A09E-42F2-9D72-BE02ECAADC92}">
    <text>Итоговая НДС по позиции - реализация
Автоматически заполняемый столбец</text>
  </threadedComment>
  <threadedComment ref="S1" dT="2026-09-08T11:09:23.14" personId="{546BDB3A-668A-4D8C-87A8-0DE14755FBE5}" id="{8E0C7296-1BDD-4B47-A850-27FD40517584}">
    <text>Итоговая стоимость по позиции с НДС - реализация
Автоматически заполняемый столбец</text>
  </threadedComment>
  <threadedComment ref="T1" dT="2025-09-10T06:52:30.62" personId="{546BDB3A-668A-4D8C-87A8-0DE14755FBE5}" id="{9B32C0B5-C05B-484C-A693-11A0F23F77D8}">
    <text>Длительность в календарных днях реализации товара или услуги</text>
  </threadedComment>
  <threadedComment ref="U1" dT="2025-09-10T06:53:01.23" personId="{546BDB3A-668A-4D8C-87A8-0DE14755FBE5}" id="{B42D3B41-058E-4983-94A4-8C60C7C63672}">
    <text>Признак закупки позиции в данном заказе</text>
  </threadedComment>
  <threadedComment ref="V1" dT="2025-09-10T06:53:17.00" personId="{546BDB3A-668A-4D8C-87A8-0DE14755FBE5}" id="{56C833C4-D222-48BD-9788-D14B6BE0D29E}">
    <text xml:space="preserve">Признак  пост-модификации коммерческих данных данной коллекции </text>
  </threadedComment>
  <threadedComment ref="W1" dT="2025-09-10T06:54:08.95" personId="{546BDB3A-668A-4D8C-87A8-0DE14755FBE5}" id="{F8030F50-FD87-4745-A651-025560126A86}">
    <text>Комментарий для - заказчика.
Свободная информация по позиции для технических спецификаций предназначенных заказчику</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9.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E2138-C99F-4E5C-BA1C-A2F685F03BF8}">
  <dimension ref="A1:AD70"/>
  <sheetViews>
    <sheetView zoomScaleNormal="100" workbookViewId="0">
      <pane ySplit="1" topLeftCell="A66" activePane="bottomLeft" state="frozen"/>
      <selection pane="bottomLeft" activeCell="D88" sqref="D88"/>
    </sheetView>
  </sheetViews>
  <sheetFormatPr defaultRowHeight="14.4" outlineLevelCol="2" x14ac:dyDescent="0.3"/>
  <cols>
    <col min="1" max="1" width="7.5546875" customWidth="1" outlineLevel="2"/>
    <col min="2" max="2" width="9" customWidth="1" outlineLevel="2"/>
    <col min="3" max="3" width="21.6640625" customWidth="1" outlineLevel="2"/>
    <col min="4" max="4" width="8.6640625" customWidth="1" outlineLevel="2"/>
    <col min="5" max="5" width="11.6640625" customWidth="1" outlineLevel="2"/>
    <col min="6" max="6" width="17.5546875" customWidth="1" outlineLevel="1"/>
    <col min="7" max="7" width="7.5546875" customWidth="1" outlineLevel="1"/>
    <col min="8" max="8" width="11.33203125" customWidth="1" outlineLevel="1"/>
    <col min="9" max="9" width="10.6640625" customWidth="1"/>
    <col min="10" max="10" width="12.6640625" customWidth="1"/>
    <col min="11" max="11" width="39.5546875" customWidth="1"/>
    <col min="12" max="12" width="30.77734375" customWidth="1"/>
    <col min="13" max="13" width="50.77734375" customWidth="1"/>
    <col min="14" max="15" width="18.6640625" customWidth="1" outlineLevel="1"/>
    <col min="16" max="17" width="20.6640625" customWidth="1" outlineLevel="1"/>
    <col min="18" max="18" width="9" customWidth="1"/>
    <col min="19" max="19" width="10.6640625" customWidth="1"/>
    <col min="20" max="20" width="11.6640625" customWidth="1"/>
    <col min="21" max="21" width="12.33203125" customWidth="1"/>
    <col min="22" max="22" width="12.5546875" customWidth="1"/>
    <col min="23" max="23" width="14.6640625" customWidth="1"/>
    <col min="24" max="24" width="15.109375" customWidth="1"/>
    <col min="25" max="25" width="16.6640625" customWidth="1"/>
    <col min="26" max="26" width="16" bestFit="1" customWidth="1"/>
    <col min="27" max="27" width="25.6640625" customWidth="1"/>
    <col min="28" max="28" width="40" customWidth="1"/>
    <col min="29" max="30" width="25.6640625" customWidth="1"/>
  </cols>
  <sheetData>
    <row r="1" spans="1:30" ht="43.2" x14ac:dyDescent="0.3">
      <c r="A1" s="4" t="s">
        <v>0</v>
      </c>
      <c r="B1" s="4" t="s">
        <v>1</v>
      </c>
      <c r="C1" s="4" t="s">
        <v>2</v>
      </c>
      <c r="D1" s="7"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470</v>
      </c>
      <c r="Y1" s="4" t="s">
        <v>23</v>
      </c>
      <c r="Z1" s="4" t="s">
        <v>542</v>
      </c>
      <c r="AA1" s="4" t="s">
        <v>24</v>
      </c>
      <c r="AB1" s="4" t="s">
        <v>25</v>
      </c>
      <c r="AC1" s="4" t="s">
        <v>26</v>
      </c>
      <c r="AD1" s="4" t="s">
        <v>27</v>
      </c>
    </row>
    <row r="2" spans="1:30" ht="187.2" x14ac:dyDescent="0.3">
      <c r="A2" s="72">
        <v>1</v>
      </c>
      <c r="B2" s="65" t="s">
        <v>491</v>
      </c>
      <c r="C2" s="66" t="s">
        <v>492</v>
      </c>
      <c r="D2" s="65" t="str">
        <f>MID(TabSpecificationWork_1[[#This Row],[NUM PROJECT]], SEARCH("-N",TabSpecificationWork_1[[#This Row],[NUM PROJECT]])+2, SEARCH("-",TabSpecificationWork_1[[#This Row],[NUM PROJECT]],SEARCH("-",TabSpecificationWork_1[[#This Row],[NUM PROJECT]])+1) - (SEARCH("-N",TabSpecificationWork_1[[#This Row],[NUM PROJECT]])+2))</f>
        <v>1</v>
      </c>
      <c r="E2" s="65">
        <v>1</v>
      </c>
      <c r="F2" s="67" t="s">
        <v>493</v>
      </c>
      <c r="G2" s="65">
        <v>101</v>
      </c>
      <c r="H2" s="65">
        <v>1</v>
      </c>
      <c r="I2"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1.101.1</v>
      </c>
      <c r="J2" s="69" t="s">
        <v>29</v>
      </c>
      <c r="K2" s="70" t="str">
        <f>LOWER(CONCATENATE(TabSpecificationWork_1[[#This Row],[NUM PROJECT]],"-","ver_",TabSpecificationWork_1[[#This Row],[VER COLLECTION]],"-","set_",TabSpecificationWork_1[[#This Row],[NUM FULL SET]],"-",TabSpecificationWork_1[[#This Row],[isSHIPPED]]))</f>
        <v>8/2026-n1-горизонт-ver_1-set_1.101.1-true</v>
      </c>
      <c r="L2" s="71" t="s">
        <v>494</v>
      </c>
      <c r="M2" s="67" t="s">
        <v>736</v>
      </c>
      <c r="N2" s="72" t="s">
        <v>268</v>
      </c>
      <c r="O2" s="72" t="s">
        <v>268</v>
      </c>
      <c r="P2" s="72" t="s">
        <v>550</v>
      </c>
      <c r="Q2" s="72" t="s">
        <v>550</v>
      </c>
      <c r="R2" s="72" t="s">
        <v>33</v>
      </c>
      <c r="S2" s="65">
        <v>1</v>
      </c>
      <c r="T2" s="65">
        <v>1</v>
      </c>
      <c r="U2" s="65">
        <f>TabSpecificationWork_1[[#This Row],[QUANTITY SET]]*TabSpecificationWork_1[[#This Row],[QUANTITY SHIPPED SET]]</f>
        <v>1</v>
      </c>
      <c r="V2" s="65">
        <v>1</v>
      </c>
      <c r="W2" s="73">
        <v>78000</v>
      </c>
      <c r="X2" s="74">
        <v>0</v>
      </c>
      <c r="Y2" s="73">
        <f>TabSpecificationWork_1[[#This Row],[QUANTITY TOTAL]]*TabSpecificationWork_1[[#This Row],[PRICE UNIT $PURCHASE]]</f>
        <v>78000</v>
      </c>
      <c r="Z2" s="73">
        <f>TabSpecificationWork_1[[#This Row],[VAT ADD PRICE $PURCHASE]]*TabSpecificationWork_1[[#This Row],[QUANTITY TOTAL]]+TabSpecificationWork_1[[#This Row],[COST PRICE $PURCHASE]]</f>
        <v>78000</v>
      </c>
      <c r="AA2" s="75" t="s">
        <v>491</v>
      </c>
      <c r="AB2" s="67" t="s">
        <v>551</v>
      </c>
      <c r="AC2" s="67" t="s">
        <v>491</v>
      </c>
      <c r="AD2" s="67" t="s">
        <v>491</v>
      </c>
    </row>
    <row r="3" spans="1:30" ht="244.8" x14ac:dyDescent="0.3">
      <c r="A3" s="72">
        <v>2</v>
      </c>
      <c r="B3" s="65" t="s">
        <v>491</v>
      </c>
      <c r="C3" s="66" t="s">
        <v>492</v>
      </c>
      <c r="D3" s="65" t="str">
        <f>MID(TabSpecificationWork_1[[#This Row],[NUM PROJECT]], SEARCH("-N",TabSpecificationWork_1[[#This Row],[NUM PROJECT]])+2, SEARCH("-",TabSpecificationWork_1[[#This Row],[NUM PROJECT]],SEARCH("-",TabSpecificationWork_1[[#This Row],[NUM PROJECT]])+1) - (SEARCH("-N",TabSpecificationWork_1[[#This Row],[NUM PROJECT]])+2))</f>
        <v>1</v>
      </c>
      <c r="E3" s="65">
        <v>1</v>
      </c>
      <c r="F3" s="67" t="s">
        <v>493</v>
      </c>
      <c r="G3" s="65">
        <v>101</v>
      </c>
      <c r="H3" s="65">
        <v>2</v>
      </c>
      <c r="I3"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1.101.2</v>
      </c>
      <c r="J3" s="69" t="s">
        <v>29</v>
      </c>
      <c r="K3" s="70" t="str">
        <f>LOWER(CONCATENATE(TabSpecificationWork_1[[#This Row],[NUM PROJECT]],"-","ver_",TabSpecificationWork_1[[#This Row],[VER COLLECTION]],"-","set_",TabSpecificationWork_1[[#This Row],[NUM FULL SET]],"-",TabSpecificationWork_1[[#This Row],[isSHIPPED]]))</f>
        <v>8/2026-n1-горизонт-ver_1-set_1.101.2-true</v>
      </c>
      <c r="L3" s="71" t="s">
        <v>495</v>
      </c>
      <c r="M3" s="67" t="s">
        <v>737</v>
      </c>
      <c r="N3" s="72" t="s">
        <v>268</v>
      </c>
      <c r="O3" s="72" t="s">
        <v>268</v>
      </c>
      <c r="P3" s="72" t="s">
        <v>550</v>
      </c>
      <c r="Q3" s="72" t="s">
        <v>550</v>
      </c>
      <c r="R3" s="72" t="s">
        <v>33</v>
      </c>
      <c r="S3" s="65">
        <v>1</v>
      </c>
      <c r="T3" s="65">
        <v>1</v>
      </c>
      <c r="U3" s="65">
        <f>TabSpecificationWork_1[[#This Row],[QUANTITY SET]]*TabSpecificationWork_1[[#This Row],[QUANTITY SHIPPED SET]]</f>
        <v>1</v>
      </c>
      <c r="V3" s="65">
        <v>1</v>
      </c>
      <c r="W3" s="73">
        <v>25000</v>
      </c>
      <c r="X3" s="74">
        <v>0</v>
      </c>
      <c r="Y3" s="73">
        <f>TabSpecificationWork_1[[#This Row],[QUANTITY TOTAL]]*TabSpecificationWork_1[[#This Row],[PRICE UNIT $PURCHASE]]</f>
        <v>25000</v>
      </c>
      <c r="Z3" s="73">
        <f>TabSpecificationWork_1[[#This Row],[VAT ADD PRICE $PURCHASE]]*TabSpecificationWork_1[[#This Row],[QUANTITY TOTAL]]+TabSpecificationWork_1[[#This Row],[COST PRICE $PURCHASE]]</f>
        <v>25000</v>
      </c>
      <c r="AA3" s="75" t="s">
        <v>491</v>
      </c>
      <c r="AB3" s="67" t="s">
        <v>551</v>
      </c>
      <c r="AC3" s="67" t="s">
        <v>491</v>
      </c>
      <c r="AD3" s="67" t="s">
        <v>491</v>
      </c>
    </row>
    <row r="4" spans="1:30" ht="273.60000000000002" x14ac:dyDescent="0.3">
      <c r="A4" s="72">
        <v>3</v>
      </c>
      <c r="B4" s="65" t="s">
        <v>491</v>
      </c>
      <c r="C4" s="66" t="s">
        <v>492</v>
      </c>
      <c r="D4" s="65" t="str">
        <f>MID(TabSpecificationWork_1[[#This Row],[NUM PROJECT]], SEARCH("-N",TabSpecificationWork_1[[#This Row],[NUM PROJECT]])+2, SEARCH("-",TabSpecificationWork_1[[#This Row],[NUM PROJECT]],SEARCH("-",TabSpecificationWork_1[[#This Row],[NUM PROJECT]])+1) - (SEARCH("-N",TabSpecificationWork_1[[#This Row],[NUM PROJECT]])+2))</f>
        <v>1</v>
      </c>
      <c r="E4" s="65">
        <v>1</v>
      </c>
      <c r="F4" s="67" t="s">
        <v>493</v>
      </c>
      <c r="G4" s="65">
        <v>101</v>
      </c>
      <c r="H4" s="65">
        <v>3</v>
      </c>
      <c r="I4"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1.101.3</v>
      </c>
      <c r="J4" s="69" t="s">
        <v>29</v>
      </c>
      <c r="K4" s="70" t="str">
        <f>LOWER(CONCATENATE(TabSpecificationWork_1[[#This Row],[NUM PROJECT]],"-","ver_",TabSpecificationWork_1[[#This Row],[VER COLLECTION]],"-","set_",TabSpecificationWork_1[[#This Row],[NUM FULL SET]],"-",TabSpecificationWork_1[[#This Row],[isSHIPPED]]))</f>
        <v>8/2026-n1-горизонт-ver_1-set_1.101.3-true</v>
      </c>
      <c r="L4" s="71" t="s">
        <v>738</v>
      </c>
      <c r="M4" s="67" t="s">
        <v>739</v>
      </c>
      <c r="N4" s="72" t="s">
        <v>268</v>
      </c>
      <c r="O4" s="72" t="s">
        <v>268</v>
      </c>
      <c r="P4" s="72" t="s">
        <v>550</v>
      </c>
      <c r="Q4" s="72" t="s">
        <v>550</v>
      </c>
      <c r="R4" s="72" t="s">
        <v>33</v>
      </c>
      <c r="S4" s="65">
        <v>1</v>
      </c>
      <c r="T4" s="65">
        <v>1</v>
      </c>
      <c r="U4" s="65">
        <f>TabSpecificationWork_1[[#This Row],[QUANTITY SET]]*TabSpecificationWork_1[[#This Row],[QUANTITY SHIPPED SET]]</f>
        <v>1</v>
      </c>
      <c r="V4" s="65">
        <v>1</v>
      </c>
      <c r="W4" s="73">
        <v>46000</v>
      </c>
      <c r="X4" s="74">
        <v>0</v>
      </c>
      <c r="Y4" s="73">
        <f>TabSpecificationWork_1[[#This Row],[QUANTITY TOTAL]]*TabSpecificationWork_1[[#This Row],[PRICE UNIT $PURCHASE]]</f>
        <v>46000</v>
      </c>
      <c r="Z4" s="73">
        <f>TabSpecificationWork_1[[#This Row],[VAT ADD PRICE $PURCHASE]]*TabSpecificationWork_1[[#This Row],[QUANTITY TOTAL]]+TabSpecificationWork_1[[#This Row],[COST PRICE $PURCHASE]]</f>
        <v>46000</v>
      </c>
      <c r="AA4" s="75" t="s">
        <v>491</v>
      </c>
      <c r="AB4" s="67" t="s">
        <v>551</v>
      </c>
      <c r="AC4" s="67" t="s">
        <v>491</v>
      </c>
      <c r="AD4" s="67"/>
    </row>
    <row r="5" spans="1:30" ht="177" customHeight="1" x14ac:dyDescent="0.3">
      <c r="A5" s="72">
        <v>4</v>
      </c>
      <c r="B5" s="65" t="s">
        <v>491</v>
      </c>
      <c r="C5" s="66" t="s">
        <v>492</v>
      </c>
      <c r="D5" s="65" t="str">
        <f>MID(TabSpecificationWork_1[[#This Row],[NUM PROJECT]], SEARCH("-N",TabSpecificationWork_1[[#This Row],[NUM PROJECT]])+2, SEARCH("-",TabSpecificationWork_1[[#This Row],[NUM PROJECT]],SEARCH("-",TabSpecificationWork_1[[#This Row],[NUM PROJECT]])+1) - (SEARCH("-N",TabSpecificationWork_1[[#This Row],[NUM PROJECT]])+2))</f>
        <v>1</v>
      </c>
      <c r="E5" s="65">
        <v>1</v>
      </c>
      <c r="F5" s="67" t="s">
        <v>493</v>
      </c>
      <c r="G5" s="65">
        <v>101</v>
      </c>
      <c r="H5" s="65">
        <v>4</v>
      </c>
      <c r="I5"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1.101.4</v>
      </c>
      <c r="J5" s="69" t="s">
        <v>29</v>
      </c>
      <c r="K5" s="70" t="str">
        <f>LOWER(CONCATENATE(TabSpecificationWork_1[[#This Row],[NUM PROJECT]],"-","ver_",TabSpecificationWork_1[[#This Row],[VER COLLECTION]],"-","set_",TabSpecificationWork_1[[#This Row],[NUM FULL SET]],"-",TabSpecificationWork_1[[#This Row],[isSHIPPED]]))</f>
        <v>8/2026-n1-горизонт-ver_1-set_1.101.4-true</v>
      </c>
      <c r="L5" s="71" t="s">
        <v>496</v>
      </c>
      <c r="M5" s="67" t="s">
        <v>734</v>
      </c>
      <c r="N5" s="72" t="s">
        <v>268</v>
      </c>
      <c r="O5" s="72" t="s">
        <v>268</v>
      </c>
      <c r="P5" s="72" t="s">
        <v>550</v>
      </c>
      <c r="Q5" s="72" t="s">
        <v>550</v>
      </c>
      <c r="R5" s="72" t="s">
        <v>33</v>
      </c>
      <c r="S5" s="65">
        <v>1</v>
      </c>
      <c r="T5" s="65">
        <v>1</v>
      </c>
      <c r="U5" s="65">
        <f>TabSpecificationWork_1[[#This Row],[QUANTITY SET]]*TabSpecificationWork_1[[#This Row],[QUANTITY SHIPPED SET]]</f>
        <v>1</v>
      </c>
      <c r="V5" s="65">
        <v>1</v>
      </c>
      <c r="W5" s="73">
        <v>50000</v>
      </c>
      <c r="X5" s="74">
        <v>0</v>
      </c>
      <c r="Y5" s="73">
        <f>TabSpecificationWork_1[[#This Row],[QUANTITY TOTAL]]*TabSpecificationWork_1[[#This Row],[PRICE UNIT $PURCHASE]]</f>
        <v>50000</v>
      </c>
      <c r="Z5" s="73">
        <f>TabSpecificationWork_1[[#This Row],[VAT ADD PRICE $PURCHASE]]*TabSpecificationWork_1[[#This Row],[QUANTITY TOTAL]]+TabSpecificationWork_1[[#This Row],[COST PRICE $PURCHASE]]</f>
        <v>50000</v>
      </c>
      <c r="AA5" s="75" t="s">
        <v>491</v>
      </c>
      <c r="AB5" s="67" t="s">
        <v>551</v>
      </c>
      <c r="AC5" s="67" t="s">
        <v>491</v>
      </c>
      <c r="AD5" s="67"/>
    </row>
    <row r="6" spans="1:30" ht="194.4" customHeight="1" x14ac:dyDescent="0.3">
      <c r="A6" s="72">
        <v>5</v>
      </c>
      <c r="B6" s="65" t="s">
        <v>491</v>
      </c>
      <c r="C6" s="66" t="s">
        <v>492</v>
      </c>
      <c r="D6" s="65" t="str">
        <f>MID(TabSpecificationWork_1[[#This Row],[NUM PROJECT]], SEARCH("-N",TabSpecificationWork_1[[#This Row],[NUM PROJECT]])+2, SEARCH("-",TabSpecificationWork_1[[#This Row],[NUM PROJECT]],SEARCH("-",TabSpecificationWork_1[[#This Row],[NUM PROJECT]])+1) - (SEARCH("-N",TabSpecificationWork_1[[#This Row],[NUM PROJECT]])+2))</f>
        <v>1</v>
      </c>
      <c r="E6" s="65">
        <v>1</v>
      </c>
      <c r="F6" s="67" t="s">
        <v>493</v>
      </c>
      <c r="G6" s="65">
        <v>101</v>
      </c>
      <c r="H6" s="65">
        <v>5</v>
      </c>
      <c r="I6"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1.101.5</v>
      </c>
      <c r="J6" s="69" t="s">
        <v>29</v>
      </c>
      <c r="K6" s="70" t="str">
        <f>LOWER(CONCATENATE(TabSpecificationWork_1[[#This Row],[NUM PROJECT]],"-","ver_",TabSpecificationWork_1[[#This Row],[VER COLLECTION]],"-","set_",TabSpecificationWork_1[[#This Row],[NUM FULL SET]],"-",TabSpecificationWork_1[[#This Row],[isSHIPPED]]))</f>
        <v>8/2026-n1-горизонт-ver_1-set_1.101.5-true</v>
      </c>
      <c r="L6" s="71" t="s">
        <v>497</v>
      </c>
      <c r="M6" s="67" t="s">
        <v>742</v>
      </c>
      <c r="N6" s="72" t="s">
        <v>268</v>
      </c>
      <c r="O6" s="72" t="s">
        <v>268</v>
      </c>
      <c r="P6" s="72" t="s">
        <v>550</v>
      </c>
      <c r="Q6" s="72" t="s">
        <v>550</v>
      </c>
      <c r="R6" s="72" t="s">
        <v>33</v>
      </c>
      <c r="S6" s="65">
        <v>1</v>
      </c>
      <c r="T6" s="65">
        <v>1</v>
      </c>
      <c r="U6" s="65">
        <f>TabSpecificationWork_1[[#This Row],[QUANTITY SET]]*TabSpecificationWork_1[[#This Row],[QUANTITY SHIPPED SET]]</f>
        <v>1</v>
      </c>
      <c r="V6" s="65">
        <v>1</v>
      </c>
      <c r="W6" s="73">
        <v>50000</v>
      </c>
      <c r="X6" s="74">
        <v>0</v>
      </c>
      <c r="Y6" s="73">
        <f>TabSpecificationWork_1[[#This Row],[QUANTITY TOTAL]]*TabSpecificationWork_1[[#This Row],[PRICE UNIT $PURCHASE]]</f>
        <v>50000</v>
      </c>
      <c r="Z6" s="73">
        <f>TabSpecificationWork_1[[#This Row],[VAT ADD PRICE $PURCHASE]]*TabSpecificationWork_1[[#This Row],[QUANTITY TOTAL]]+TabSpecificationWork_1[[#This Row],[COST PRICE $PURCHASE]]</f>
        <v>50000</v>
      </c>
      <c r="AA6" s="75" t="s">
        <v>491</v>
      </c>
      <c r="AB6" s="67" t="s">
        <v>551</v>
      </c>
      <c r="AC6" s="67" t="s">
        <v>491</v>
      </c>
      <c r="AD6" s="67"/>
    </row>
    <row r="7" spans="1:30" ht="187.2" customHeight="1" x14ac:dyDescent="0.3">
      <c r="A7" s="72">
        <v>6</v>
      </c>
      <c r="B7" s="65" t="s">
        <v>491</v>
      </c>
      <c r="C7" s="66" t="s">
        <v>492</v>
      </c>
      <c r="D7" s="65" t="str">
        <f>MID(TabSpecificationWork_1[[#This Row],[NUM PROJECT]], SEARCH("-N",TabSpecificationWork_1[[#This Row],[NUM PROJECT]])+2, SEARCH("-",TabSpecificationWork_1[[#This Row],[NUM PROJECT]],SEARCH("-",TabSpecificationWork_1[[#This Row],[NUM PROJECT]])+1) - (SEARCH("-N",TabSpecificationWork_1[[#This Row],[NUM PROJECT]])+2))</f>
        <v>1</v>
      </c>
      <c r="E7" s="65">
        <v>1</v>
      </c>
      <c r="F7" s="67" t="s">
        <v>493</v>
      </c>
      <c r="G7" s="65">
        <v>102</v>
      </c>
      <c r="H7" s="65">
        <v>1</v>
      </c>
      <c r="I7"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1.102.1</v>
      </c>
      <c r="J7" s="69" t="s">
        <v>29</v>
      </c>
      <c r="K7" s="70" t="str">
        <f>LOWER(CONCATENATE(TabSpecificationWork_1[[#This Row],[NUM PROJECT]],"-","ver_",TabSpecificationWork_1[[#This Row],[VER COLLECTION]],"-","set_",TabSpecificationWork_1[[#This Row],[NUM FULL SET]],"-",TabSpecificationWork_1[[#This Row],[isSHIPPED]]))</f>
        <v>8/2026-n1-горизонт-ver_1-set_1.102.1-true</v>
      </c>
      <c r="L7" s="71" t="s">
        <v>740</v>
      </c>
      <c r="M7" s="67" t="s">
        <v>741</v>
      </c>
      <c r="N7" s="72" t="s">
        <v>268</v>
      </c>
      <c r="O7" s="72" t="s">
        <v>268</v>
      </c>
      <c r="P7" s="72" t="s">
        <v>550</v>
      </c>
      <c r="Q7" s="72" t="s">
        <v>550</v>
      </c>
      <c r="R7" s="72" t="s">
        <v>33</v>
      </c>
      <c r="S7" s="65">
        <v>1</v>
      </c>
      <c r="T7" s="65">
        <v>1</v>
      </c>
      <c r="U7" s="65">
        <f>TabSpecificationWork_1[[#This Row],[QUANTITY SET]]*TabSpecificationWork_1[[#This Row],[QUANTITY SHIPPED SET]]</f>
        <v>1</v>
      </c>
      <c r="V7" s="65">
        <v>1</v>
      </c>
      <c r="W7" s="73">
        <v>100000</v>
      </c>
      <c r="X7" s="74">
        <v>0</v>
      </c>
      <c r="Y7" s="73">
        <f>TabSpecificationWork_1[[#This Row],[QUANTITY TOTAL]]*TabSpecificationWork_1[[#This Row],[PRICE UNIT $PURCHASE]]</f>
        <v>100000</v>
      </c>
      <c r="Z7" s="73">
        <f>TabSpecificationWork_1[[#This Row],[VAT ADD PRICE $PURCHASE]]*TabSpecificationWork_1[[#This Row],[QUANTITY TOTAL]]+TabSpecificationWork_1[[#This Row],[COST PRICE $PURCHASE]]</f>
        <v>100000</v>
      </c>
      <c r="AA7" s="75" t="s">
        <v>491</v>
      </c>
      <c r="AB7" s="67" t="s">
        <v>659</v>
      </c>
      <c r="AC7" s="67" t="s">
        <v>658</v>
      </c>
      <c r="AD7" s="67"/>
    </row>
    <row r="8" spans="1:30" ht="240" customHeight="1" x14ac:dyDescent="0.3">
      <c r="A8" s="72">
        <v>7</v>
      </c>
      <c r="B8" s="65" t="s">
        <v>491</v>
      </c>
      <c r="C8" s="66" t="s">
        <v>492</v>
      </c>
      <c r="D8" s="65" t="str">
        <f>MID(TabSpecificationWork_1[[#This Row],[NUM PROJECT]], SEARCH("-N",TabSpecificationWork_1[[#This Row],[NUM PROJECT]])+2, SEARCH("-",TabSpecificationWork_1[[#This Row],[NUM PROJECT]],SEARCH("-",TabSpecificationWork_1[[#This Row],[NUM PROJECT]])+1) - (SEARCH("-N",TabSpecificationWork_1[[#This Row],[NUM PROJECT]])+2))</f>
        <v>1</v>
      </c>
      <c r="E8" s="65">
        <v>1</v>
      </c>
      <c r="F8" s="67" t="s">
        <v>493</v>
      </c>
      <c r="G8" s="65">
        <v>101</v>
      </c>
      <c r="H8" s="65">
        <v>6</v>
      </c>
      <c r="I8"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1.101.6</v>
      </c>
      <c r="J8" s="69" t="s">
        <v>29</v>
      </c>
      <c r="K8" s="70" t="str">
        <f>LOWER(CONCATENATE(TabSpecificationWork_1[[#This Row],[NUM PROJECT]],"-","ver_",TabSpecificationWork_1[[#This Row],[VER COLLECTION]],"-","set_",TabSpecificationWork_1[[#This Row],[NUM FULL SET]],"-",TabSpecificationWork_1[[#This Row],[isSHIPPED]]))</f>
        <v>8/2026-n1-горизонт-ver_1-set_1.101.6-true</v>
      </c>
      <c r="L8" s="71" t="s">
        <v>730</v>
      </c>
      <c r="M8" s="67" t="s">
        <v>729</v>
      </c>
      <c r="N8" s="72" t="s">
        <v>268</v>
      </c>
      <c r="O8" s="72" t="s">
        <v>268</v>
      </c>
      <c r="P8" s="72" t="s">
        <v>550</v>
      </c>
      <c r="Q8" s="72" t="s">
        <v>550</v>
      </c>
      <c r="R8" s="72" t="s">
        <v>33</v>
      </c>
      <c r="S8" s="65">
        <v>1</v>
      </c>
      <c r="T8" s="65">
        <v>1</v>
      </c>
      <c r="U8" s="65">
        <f>TabSpecificationWork_1[[#This Row],[QUANTITY SET]]*TabSpecificationWork_1[[#This Row],[QUANTITY SHIPPED SET]]</f>
        <v>1</v>
      </c>
      <c r="V8" s="65">
        <v>1</v>
      </c>
      <c r="W8" s="73">
        <v>25000</v>
      </c>
      <c r="X8" s="74">
        <v>0</v>
      </c>
      <c r="Y8" s="73">
        <f>TabSpecificationWork_1[[#This Row],[QUANTITY TOTAL]]*TabSpecificationWork_1[[#This Row],[PRICE UNIT $PURCHASE]]</f>
        <v>25000</v>
      </c>
      <c r="Z8" s="73">
        <f>TabSpecificationWork_1[[#This Row],[VAT ADD PRICE $PURCHASE]]*TabSpecificationWork_1[[#This Row],[QUANTITY TOTAL]]+TabSpecificationWork_1[[#This Row],[COST PRICE $PURCHASE]]</f>
        <v>25000</v>
      </c>
      <c r="AA8" s="75" t="s">
        <v>491</v>
      </c>
      <c r="AB8" s="67" t="s">
        <v>551</v>
      </c>
      <c r="AC8" s="67" t="s">
        <v>491</v>
      </c>
      <c r="AD8" s="67"/>
    </row>
    <row r="9" spans="1:30" ht="201.6" x14ac:dyDescent="0.3">
      <c r="A9" s="72">
        <v>8</v>
      </c>
      <c r="B9" s="65" t="s">
        <v>491</v>
      </c>
      <c r="C9" s="66" t="s">
        <v>492</v>
      </c>
      <c r="D9" s="65" t="str">
        <f>MID(TabSpecificationWork_1[[#This Row],[NUM PROJECT]], SEARCH("-N",TabSpecificationWork_1[[#This Row],[NUM PROJECT]])+2, SEARCH("-",TabSpecificationWork_1[[#This Row],[NUM PROJECT]],SEARCH("-",TabSpecificationWork_1[[#This Row],[NUM PROJECT]])+1) - (SEARCH("-N",TabSpecificationWork_1[[#This Row],[NUM PROJECT]])+2))</f>
        <v>1</v>
      </c>
      <c r="E9" s="65">
        <v>1</v>
      </c>
      <c r="F9" s="67" t="s">
        <v>493</v>
      </c>
      <c r="G9" s="65">
        <v>101</v>
      </c>
      <c r="H9" s="65">
        <v>7</v>
      </c>
      <c r="I9"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1.101.7</v>
      </c>
      <c r="J9" s="69" t="s">
        <v>29</v>
      </c>
      <c r="K9" s="70" t="str">
        <f>LOWER(CONCATENATE(TabSpecificationWork_1[[#This Row],[NUM PROJECT]],"-","ver_",TabSpecificationWork_1[[#This Row],[VER COLLECTION]],"-","set_",TabSpecificationWork_1[[#This Row],[NUM FULL SET]],"-",TabSpecificationWork_1[[#This Row],[isSHIPPED]]))</f>
        <v>8/2026-n1-горизонт-ver_1-set_1.101.7-true</v>
      </c>
      <c r="L9" s="71" t="s">
        <v>731</v>
      </c>
      <c r="M9" s="67" t="s">
        <v>727</v>
      </c>
      <c r="N9" s="72" t="s">
        <v>268</v>
      </c>
      <c r="O9" s="72" t="s">
        <v>268</v>
      </c>
      <c r="P9" s="72" t="s">
        <v>550</v>
      </c>
      <c r="Q9" s="72" t="s">
        <v>550</v>
      </c>
      <c r="R9" s="72" t="s">
        <v>33</v>
      </c>
      <c r="S9" s="65">
        <v>1</v>
      </c>
      <c r="T9" s="65">
        <v>1</v>
      </c>
      <c r="U9" s="65">
        <f>TabSpecificationWork_1[[#This Row],[QUANTITY SET]]*TabSpecificationWork_1[[#This Row],[QUANTITY SHIPPED SET]]</f>
        <v>1</v>
      </c>
      <c r="V9" s="65">
        <v>1</v>
      </c>
      <c r="W9" s="73">
        <v>25000</v>
      </c>
      <c r="X9" s="74">
        <v>0</v>
      </c>
      <c r="Y9" s="73">
        <f>TabSpecificationWork_1[[#This Row],[QUANTITY TOTAL]]*TabSpecificationWork_1[[#This Row],[PRICE UNIT $PURCHASE]]</f>
        <v>25000</v>
      </c>
      <c r="Z9" s="73">
        <f>TabSpecificationWork_1[[#This Row],[VAT ADD PRICE $PURCHASE]]*TabSpecificationWork_1[[#This Row],[QUANTITY TOTAL]]+TabSpecificationWork_1[[#This Row],[COST PRICE $PURCHASE]]</f>
        <v>25000</v>
      </c>
      <c r="AA9" s="75" t="s">
        <v>491</v>
      </c>
      <c r="AB9" s="67" t="s">
        <v>551</v>
      </c>
      <c r="AC9" s="67" t="s">
        <v>491</v>
      </c>
      <c r="AD9" s="67"/>
    </row>
    <row r="10" spans="1:30" ht="187.2" x14ac:dyDescent="0.3">
      <c r="A10" s="72">
        <v>9</v>
      </c>
      <c r="B10" s="65" t="s">
        <v>491</v>
      </c>
      <c r="C10" s="66" t="s">
        <v>492</v>
      </c>
      <c r="D10" s="65" t="str">
        <f>MID(TabSpecificationWork_1[[#This Row],[NUM PROJECT]], SEARCH("-N",TabSpecificationWork_1[[#This Row],[NUM PROJECT]])+2, SEARCH("-",TabSpecificationWork_1[[#This Row],[NUM PROJECT]],SEARCH("-",TabSpecificationWork_1[[#This Row],[NUM PROJECT]])+1) - (SEARCH("-N",TabSpecificationWork_1[[#This Row],[NUM PROJECT]])+2))</f>
        <v>1</v>
      </c>
      <c r="E10" s="65">
        <v>1</v>
      </c>
      <c r="F10" s="67" t="s">
        <v>493</v>
      </c>
      <c r="G10" s="65">
        <v>103</v>
      </c>
      <c r="H10" s="65">
        <v>1</v>
      </c>
      <c r="I10"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1.103.1</v>
      </c>
      <c r="J10" s="69" t="s">
        <v>35</v>
      </c>
      <c r="K10" s="70" t="str">
        <f>LOWER(CONCATENATE(TabSpecificationWork_1[[#This Row],[NUM PROJECT]],"-","ver_",TabSpecificationWork_1[[#This Row],[VER COLLECTION]],"-","set_",TabSpecificationWork_1[[#This Row],[NUM FULL SET]],"-",TabSpecificationWork_1[[#This Row],[isSHIPPED]]))</f>
        <v>8/2026-n1-горизонт-ver_1-set_1.103.1-false</v>
      </c>
      <c r="L10" s="71" t="s">
        <v>498</v>
      </c>
      <c r="M10" s="67" t="s">
        <v>728</v>
      </c>
      <c r="N10" s="72" t="s">
        <v>268</v>
      </c>
      <c r="O10" s="72" t="s">
        <v>268</v>
      </c>
      <c r="P10" s="72" t="s">
        <v>550</v>
      </c>
      <c r="Q10" s="72" t="s">
        <v>550</v>
      </c>
      <c r="R10" s="72" t="s">
        <v>33</v>
      </c>
      <c r="S10" s="65">
        <v>1</v>
      </c>
      <c r="T10" s="65">
        <v>1</v>
      </c>
      <c r="U10" s="65">
        <f>TabSpecificationWork_1[[#This Row],[QUANTITY SET]]*TabSpecificationWork_1[[#This Row],[QUANTITY SHIPPED SET]]</f>
        <v>1</v>
      </c>
      <c r="V10" s="65">
        <v>1</v>
      </c>
      <c r="W10" s="73">
        <v>100000</v>
      </c>
      <c r="X10" s="74">
        <v>0</v>
      </c>
      <c r="Y10" s="73">
        <f>TabSpecificationWork_1[[#This Row],[QUANTITY TOTAL]]*TabSpecificationWork_1[[#This Row],[PRICE UNIT $PURCHASE]]</f>
        <v>100000</v>
      </c>
      <c r="Z10" s="73">
        <f>TabSpecificationWork_1[[#This Row],[VAT ADD PRICE $PURCHASE]]*TabSpecificationWork_1[[#This Row],[QUANTITY TOTAL]]+TabSpecificationWork_1[[#This Row],[COST PRICE $PURCHASE]]</f>
        <v>100000</v>
      </c>
      <c r="AA10" s="75" t="s">
        <v>491</v>
      </c>
      <c r="AB10" s="67" t="s">
        <v>551</v>
      </c>
      <c r="AC10" s="67" t="s">
        <v>491</v>
      </c>
      <c r="AD10" s="67"/>
    </row>
    <row r="11" spans="1:30" ht="115.2" x14ac:dyDescent="0.3">
      <c r="A11" s="72">
        <v>10</v>
      </c>
      <c r="B11" s="65"/>
      <c r="C11" s="66" t="s">
        <v>536</v>
      </c>
      <c r="D11" s="65" t="str">
        <f>MID(TabSpecificationWork_1[[#This Row],[NUM PROJECT]], SEARCH("-N",TabSpecificationWork_1[[#This Row],[NUM PROJECT]])+2, SEARCH("-",TabSpecificationWork_1[[#This Row],[NUM PROJECT]],SEARCH("-",TabSpecificationWork_1[[#This Row],[NUM PROJECT]])+1) - (SEARCH("-N",TabSpecificationWork_1[[#This Row],[NUM PROJECT]])+2))</f>
        <v>2</v>
      </c>
      <c r="E11" s="65">
        <v>1</v>
      </c>
      <c r="F11" s="67" t="s">
        <v>557</v>
      </c>
      <c r="G11" s="65">
        <v>101</v>
      </c>
      <c r="H11" s="65">
        <v>1</v>
      </c>
      <c r="I11"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2.101.1</v>
      </c>
      <c r="J11" s="69" t="s">
        <v>29</v>
      </c>
      <c r="K11" s="70" t="str">
        <f>LOWER(CONCATENATE(TabSpecificationWork_1[[#This Row],[NUM PROJECT]],"-","ver_",TabSpecificationWork_1[[#This Row],[VER COLLECTION]],"-","set_",TabSpecificationWork_1[[#This Row],[NUM FULL SET]],"-",TabSpecificationWork_1[[#This Row],[isSHIPPED]]))</f>
        <v>8/2026-n2-горизонт-ver_1-set_2.101.1-true</v>
      </c>
      <c r="L11" s="76" t="s">
        <v>567</v>
      </c>
      <c r="M11" s="77" t="s">
        <v>743</v>
      </c>
      <c r="N11" s="72" t="s">
        <v>268</v>
      </c>
      <c r="O11" s="72" t="s">
        <v>268</v>
      </c>
      <c r="P11" s="72" t="s">
        <v>550</v>
      </c>
      <c r="Q11" s="72" t="s">
        <v>550</v>
      </c>
      <c r="R11" s="72" t="s">
        <v>33</v>
      </c>
      <c r="S11" s="65">
        <v>1</v>
      </c>
      <c r="T11" s="65">
        <v>1</v>
      </c>
      <c r="U11" s="65">
        <f>TabSpecificationWork_1[[#This Row],[QUANTITY SET]]*TabSpecificationWork_1[[#This Row],[QUANTITY SHIPPED SET]]</f>
        <v>1</v>
      </c>
      <c r="V11" s="65">
        <v>1</v>
      </c>
      <c r="W11" s="73">
        <v>100000</v>
      </c>
      <c r="X11" s="84">
        <v>0</v>
      </c>
      <c r="Y11" s="73">
        <f>TabSpecificationWork_1[[#This Row],[QUANTITY TOTAL]]*TabSpecificationWork_1[[#This Row],[PRICE UNIT $PURCHASE]]</f>
        <v>100000</v>
      </c>
      <c r="Z11" s="73">
        <f>TabSpecificationWork_1[[#This Row],[VAT ADD PRICE $PURCHASE]]*TabSpecificationWork_1[[#This Row],[QUANTITY TOTAL]]+TabSpecificationWork_1[[#This Row],[COST PRICE $PURCHASE]]</f>
        <v>100000</v>
      </c>
      <c r="AA11" s="75"/>
      <c r="AB11" s="67" t="s">
        <v>653</v>
      </c>
      <c r="AC11" s="67"/>
      <c r="AD11" s="67"/>
    </row>
    <row r="12" spans="1:30" ht="115.2" x14ac:dyDescent="0.3">
      <c r="A12" s="72">
        <v>11</v>
      </c>
      <c r="B12" s="65"/>
      <c r="C12" s="66" t="s">
        <v>536</v>
      </c>
      <c r="D12" s="65" t="str">
        <f>MID(TabSpecificationWork_1[[#This Row],[NUM PROJECT]], SEARCH("-N",TabSpecificationWork_1[[#This Row],[NUM PROJECT]])+2, SEARCH("-",TabSpecificationWork_1[[#This Row],[NUM PROJECT]],SEARCH("-",TabSpecificationWork_1[[#This Row],[NUM PROJECT]])+1) - (SEARCH("-N",TabSpecificationWork_1[[#This Row],[NUM PROJECT]])+2))</f>
        <v>2</v>
      </c>
      <c r="E12" s="65">
        <v>1</v>
      </c>
      <c r="F12" s="77" t="s">
        <v>560</v>
      </c>
      <c r="G12" s="65">
        <v>101</v>
      </c>
      <c r="H12" s="65">
        <v>2</v>
      </c>
      <c r="I12"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2.101.2</v>
      </c>
      <c r="J12" s="69" t="s">
        <v>29</v>
      </c>
      <c r="K12" s="70" t="str">
        <f>LOWER(CONCATENATE(TabSpecificationWork_1[[#This Row],[NUM PROJECT]],"-","ver_",TabSpecificationWork_1[[#This Row],[VER COLLECTION]],"-","set_",TabSpecificationWork_1[[#This Row],[NUM FULL SET]],"-",TabSpecificationWork_1[[#This Row],[isSHIPPED]]))</f>
        <v>8/2026-n2-горизонт-ver_1-set_2.101.2-true</v>
      </c>
      <c r="L12" s="78" t="s">
        <v>568</v>
      </c>
      <c r="M12" s="77" t="s">
        <v>574</v>
      </c>
      <c r="N12" s="72" t="s">
        <v>268</v>
      </c>
      <c r="O12" s="72" t="s">
        <v>268</v>
      </c>
      <c r="P12" s="72" t="s">
        <v>550</v>
      </c>
      <c r="Q12" s="72" t="s">
        <v>550</v>
      </c>
      <c r="R12" s="72" t="s">
        <v>33</v>
      </c>
      <c r="S12" s="65">
        <v>1</v>
      </c>
      <c r="T12" s="65">
        <v>1</v>
      </c>
      <c r="U12" s="65">
        <f>TabSpecificationWork_1[[#This Row],[QUANTITY SET]]*TabSpecificationWork_1[[#This Row],[QUANTITY SHIPPED SET]]</f>
        <v>1</v>
      </c>
      <c r="V12" s="65">
        <v>1</v>
      </c>
      <c r="W12" s="73">
        <v>20000</v>
      </c>
      <c r="X12" s="84">
        <v>0</v>
      </c>
      <c r="Y12" s="73">
        <f>TabSpecificationWork_1[[#This Row],[QUANTITY TOTAL]]*TabSpecificationWork_1[[#This Row],[PRICE UNIT $PURCHASE]]</f>
        <v>20000</v>
      </c>
      <c r="Z12" s="73">
        <f>TabSpecificationWork_1[[#This Row],[VAT ADD PRICE $PURCHASE]]*TabSpecificationWork_1[[#This Row],[QUANTITY TOTAL]]+TabSpecificationWork_1[[#This Row],[COST PRICE $PURCHASE]]</f>
        <v>20000</v>
      </c>
      <c r="AA12" s="75"/>
      <c r="AB12" s="67" t="s">
        <v>653</v>
      </c>
      <c r="AC12" s="67"/>
      <c r="AD12" s="67"/>
    </row>
    <row r="13" spans="1:30" ht="86.4" x14ac:dyDescent="0.3">
      <c r="A13" s="72">
        <v>12</v>
      </c>
      <c r="B13" s="65"/>
      <c r="C13" s="66" t="s">
        <v>536</v>
      </c>
      <c r="D13" s="65" t="str">
        <f>MID(TabSpecificationWork_1[[#This Row],[NUM PROJECT]], SEARCH("-N",TabSpecificationWork_1[[#This Row],[NUM PROJECT]])+2, SEARCH("-",TabSpecificationWork_1[[#This Row],[NUM PROJECT]],SEARCH("-",TabSpecificationWork_1[[#This Row],[NUM PROJECT]])+1) - (SEARCH("-N",TabSpecificationWork_1[[#This Row],[NUM PROJECT]])+2))</f>
        <v>2</v>
      </c>
      <c r="E13" s="65">
        <v>1</v>
      </c>
      <c r="F13" s="77" t="s">
        <v>557</v>
      </c>
      <c r="G13" s="65">
        <v>101</v>
      </c>
      <c r="H13" s="65">
        <v>3</v>
      </c>
      <c r="I13"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2.101.3</v>
      </c>
      <c r="J13" s="69" t="s">
        <v>29</v>
      </c>
      <c r="K13" s="70" t="str">
        <f>LOWER(CONCATENATE(TabSpecificationWork_1[[#This Row],[NUM PROJECT]],"-","ver_",TabSpecificationWork_1[[#This Row],[VER COLLECTION]],"-","set_",TabSpecificationWork_1[[#This Row],[NUM FULL SET]],"-",TabSpecificationWork_1[[#This Row],[isSHIPPED]]))</f>
        <v>8/2026-n2-горизонт-ver_1-set_2.101.3-true</v>
      </c>
      <c r="L13" s="78" t="s">
        <v>569</v>
      </c>
      <c r="M13" s="77" t="s">
        <v>566</v>
      </c>
      <c r="N13" s="72" t="s">
        <v>268</v>
      </c>
      <c r="O13" s="72" t="s">
        <v>268</v>
      </c>
      <c r="P13" s="72" t="s">
        <v>550</v>
      </c>
      <c r="Q13" s="72" t="s">
        <v>550</v>
      </c>
      <c r="R13" s="72" t="s">
        <v>33</v>
      </c>
      <c r="S13" s="65">
        <v>1</v>
      </c>
      <c r="T13" s="65">
        <v>1</v>
      </c>
      <c r="U13" s="65">
        <f>TabSpecificationWork_1[[#This Row],[QUANTITY SET]]*TabSpecificationWork_1[[#This Row],[QUANTITY SHIPPED SET]]</f>
        <v>1</v>
      </c>
      <c r="V13" s="65">
        <v>1</v>
      </c>
      <c r="W13" s="73">
        <v>20000</v>
      </c>
      <c r="X13" s="84">
        <v>0</v>
      </c>
      <c r="Y13" s="73">
        <f>TabSpecificationWork_1[[#This Row],[QUANTITY TOTAL]]*TabSpecificationWork_1[[#This Row],[PRICE UNIT $PURCHASE]]</f>
        <v>20000</v>
      </c>
      <c r="Z13" s="73">
        <f>TabSpecificationWork_1[[#This Row],[VAT ADD PRICE $PURCHASE]]*TabSpecificationWork_1[[#This Row],[QUANTITY TOTAL]]+TabSpecificationWork_1[[#This Row],[COST PRICE $PURCHASE]]</f>
        <v>20000</v>
      </c>
      <c r="AA13" s="75"/>
      <c r="AB13" s="67" t="s">
        <v>653</v>
      </c>
      <c r="AC13" s="67"/>
      <c r="AD13" s="67"/>
    </row>
    <row r="14" spans="1:30" ht="100.8" x14ac:dyDescent="0.3">
      <c r="A14" s="72">
        <v>13</v>
      </c>
      <c r="B14" s="65"/>
      <c r="C14" s="66" t="s">
        <v>536</v>
      </c>
      <c r="D14" s="65" t="str">
        <f>MID(TabSpecificationWork_1[[#This Row],[NUM PROJECT]], SEARCH("-N",TabSpecificationWork_1[[#This Row],[NUM PROJECT]])+2, SEARCH("-",TabSpecificationWork_1[[#This Row],[NUM PROJECT]],SEARCH("-",TabSpecificationWork_1[[#This Row],[NUM PROJECT]])+1) - (SEARCH("-N",TabSpecificationWork_1[[#This Row],[NUM PROJECT]])+2))</f>
        <v>2</v>
      </c>
      <c r="E14" s="65">
        <v>1</v>
      </c>
      <c r="F14" s="77" t="s">
        <v>561</v>
      </c>
      <c r="G14" s="65">
        <v>102</v>
      </c>
      <c r="H14" s="65">
        <v>1</v>
      </c>
      <c r="I14"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2.102.1</v>
      </c>
      <c r="J14" s="69" t="s">
        <v>29</v>
      </c>
      <c r="K14" s="70" t="str">
        <f>LOWER(CONCATENATE(TabSpecificationWork_1[[#This Row],[NUM PROJECT]],"-","ver_",TabSpecificationWork_1[[#This Row],[VER COLLECTION]],"-","set_",TabSpecificationWork_1[[#This Row],[NUM FULL SET]],"-",TabSpecificationWork_1[[#This Row],[isSHIPPED]]))</f>
        <v>8/2026-n2-горизонт-ver_1-set_2.102.1-true</v>
      </c>
      <c r="L14" s="78" t="s">
        <v>571</v>
      </c>
      <c r="M14" s="77" t="s">
        <v>563</v>
      </c>
      <c r="N14" s="72" t="s">
        <v>268</v>
      </c>
      <c r="O14" s="72" t="s">
        <v>268</v>
      </c>
      <c r="P14" s="72" t="s">
        <v>558</v>
      </c>
      <c r="Q14" s="72" t="s">
        <v>558</v>
      </c>
      <c r="R14" s="72" t="s">
        <v>33</v>
      </c>
      <c r="S14" s="65">
        <v>1</v>
      </c>
      <c r="T14" s="65">
        <v>1</v>
      </c>
      <c r="U14" s="65">
        <f>TabSpecificationWork_1[[#This Row],[QUANTITY SET]]*TabSpecificationWork_1[[#This Row],[QUANTITY SHIPPED SET]]</f>
        <v>1</v>
      </c>
      <c r="V14" s="65">
        <v>1</v>
      </c>
      <c r="W14" s="73">
        <v>800000</v>
      </c>
      <c r="X14" s="84">
        <v>0</v>
      </c>
      <c r="Y14" s="73">
        <f>TabSpecificationWork_1[[#This Row],[QUANTITY TOTAL]]*TabSpecificationWork_1[[#This Row],[PRICE UNIT $PURCHASE]]</f>
        <v>800000</v>
      </c>
      <c r="Z14" s="73">
        <f>TabSpecificationWork_1[[#This Row],[VAT ADD PRICE $PURCHASE]]*TabSpecificationWork_1[[#This Row],[QUANTITY TOTAL]]+TabSpecificationWork_1[[#This Row],[COST PRICE $PURCHASE]]</f>
        <v>800000</v>
      </c>
      <c r="AA14" s="75"/>
      <c r="AB14" s="67" t="s">
        <v>654</v>
      </c>
      <c r="AC14" s="67"/>
      <c r="AD14" s="67"/>
    </row>
    <row r="15" spans="1:30" ht="144" x14ac:dyDescent="0.3">
      <c r="A15" s="72">
        <v>14</v>
      </c>
      <c r="B15" s="65"/>
      <c r="C15" s="66" t="s">
        <v>536</v>
      </c>
      <c r="D15" s="65" t="str">
        <f>MID(TabSpecificationWork_1[[#This Row],[NUM PROJECT]], SEARCH("-N",TabSpecificationWork_1[[#This Row],[NUM PROJECT]])+2, SEARCH("-",TabSpecificationWork_1[[#This Row],[NUM PROJECT]],SEARCH("-",TabSpecificationWork_1[[#This Row],[NUM PROJECT]])+1) - (SEARCH("-N",TabSpecificationWork_1[[#This Row],[NUM PROJECT]])+2))</f>
        <v>2</v>
      </c>
      <c r="E15" s="65">
        <v>1</v>
      </c>
      <c r="F15" s="77" t="s">
        <v>562</v>
      </c>
      <c r="G15" s="65">
        <v>103</v>
      </c>
      <c r="H15" s="65">
        <v>1</v>
      </c>
      <c r="I15"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2.103.1</v>
      </c>
      <c r="J15" s="69" t="s">
        <v>29</v>
      </c>
      <c r="K15" s="70" t="str">
        <f>LOWER(CONCATENATE(TabSpecificationWork_1[[#This Row],[NUM PROJECT]],"-","ver_",TabSpecificationWork_1[[#This Row],[VER COLLECTION]],"-","set_",TabSpecificationWork_1[[#This Row],[NUM FULL SET]],"-",TabSpecificationWork_1[[#This Row],[isSHIPPED]]))</f>
        <v>8/2026-n2-горизонт-ver_1-set_2.103.1-true</v>
      </c>
      <c r="L15" s="78" t="s">
        <v>570</v>
      </c>
      <c r="M15" s="77" t="s">
        <v>564</v>
      </c>
      <c r="N15" s="72" t="s">
        <v>268</v>
      </c>
      <c r="O15" s="72" t="s">
        <v>268</v>
      </c>
      <c r="P15" s="72" t="s">
        <v>559</v>
      </c>
      <c r="Q15" s="72" t="s">
        <v>559</v>
      </c>
      <c r="R15" s="72" t="s">
        <v>33</v>
      </c>
      <c r="S15" s="65">
        <v>1</v>
      </c>
      <c r="T15" s="65">
        <v>1</v>
      </c>
      <c r="U15" s="65">
        <f>TabSpecificationWork_1[[#This Row],[QUANTITY SET]]*TabSpecificationWork_1[[#This Row],[QUANTITY SHIPPED SET]]</f>
        <v>1</v>
      </c>
      <c r="V15" s="65">
        <v>1</v>
      </c>
      <c r="W15" s="73">
        <v>300000</v>
      </c>
      <c r="X15" s="84">
        <v>0</v>
      </c>
      <c r="Y15" s="73">
        <f>TabSpecificationWork_1[[#This Row],[QUANTITY TOTAL]]*TabSpecificationWork_1[[#This Row],[PRICE UNIT $PURCHASE]]</f>
        <v>300000</v>
      </c>
      <c r="Z15" s="73">
        <f>TabSpecificationWork_1[[#This Row],[VAT ADD PRICE $PURCHASE]]*TabSpecificationWork_1[[#This Row],[QUANTITY TOTAL]]+TabSpecificationWork_1[[#This Row],[COST PRICE $PURCHASE]]</f>
        <v>300000</v>
      </c>
      <c r="AA15" s="75"/>
      <c r="AB15" s="67" t="s">
        <v>655</v>
      </c>
      <c r="AC15" s="67"/>
      <c r="AD15" s="67"/>
    </row>
    <row r="16" spans="1:30" ht="115.2" x14ac:dyDescent="0.3">
      <c r="A16" s="72">
        <v>15</v>
      </c>
      <c r="B16" s="65"/>
      <c r="C16" s="66" t="s">
        <v>565</v>
      </c>
      <c r="D16" s="65" t="str">
        <f>MID(TabSpecificationWork_1[[#This Row],[NUM PROJECT]], SEARCH("-N",TabSpecificationWork_1[[#This Row],[NUM PROJECT]])+2, SEARCH("-",TabSpecificationWork_1[[#This Row],[NUM PROJECT]],SEARCH("-",TabSpecificationWork_1[[#This Row],[NUM PROJECT]])+1) - (SEARCH("-N",TabSpecificationWork_1[[#This Row],[NUM PROJECT]])+2))</f>
        <v>3</v>
      </c>
      <c r="E16" s="65">
        <v>1</v>
      </c>
      <c r="F16" s="67" t="s">
        <v>557</v>
      </c>
      <c r="G16" s="65">
        <v>101</v>
      </c>
      <c r="H16" s="65">
        <v>1</v>
      </c>
      <c r="I16"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3.101.1</v>
      </c>
      <c r="J16" s="69" t="s">
        <v>35</v>
      </c>
      <c r="K16" s="70" t="str">
        <f>LOWER(CONCATENATE(TabSpecificationWork_1[[#This Row],[NUM PROJECT]],"-","ver_",TabSpecificationWork_1[[#This Row],[VER COLLECTION]],"-","set_",TabSpecificationWork_1[[#This Row],[NUM FULL SET]],"-",TabSpecificationWork_1[[#This Row],[isSHIPPED]]))</f>
        <v>8/2026-n3-горизонт-ver_1-set_3.101.1-false</v>
      </c>
      <c r="L16" s="78" t="s">
        <v>671</v>
      </c>
      <c r="M16" s="77" t="s">
        <v>572</v>
      </c>
      <c r="N16" s="72" t="s">
        <v>268</v>
      </c>
      <c r="O16" s="72" t="s">
        <v>268</v>
      </c>
      <c r="P16" s="72" t="s">
        <v>550</v>
      </c>
      <c r="Q16" s="72" t="s">
        <v>550</v>
      </c>
      <c r="R16" s="72" t="s">
        <v>33</v>
      </c>
      <c r="S16" s="65">
        <v>1</v>
      </c>
      <c r="T16" s="65">
        <v>1</v>
      </c>
      <c r="U16" s="65">
        <f>TabSpecificationWork_1[[#This Row],[QUANTITY SET]]*TabSpecificationWork_1[[#This Row],[QUANTITY SHIPPED SET]]</f>
        <v>1</v>
      </c>
      <c r="V16" s="65">
        <v>1</v>
      </c>
      <c r="W16" s="83">
        <v>100000</v>
      </c>
      <c r="X16" s="84">
        <v>0</v>
      </c>
      <c r="Y16" s="73">
        <f>TabSpecificationWork_1[[#This Row],[QUANTITY TOTAL]]*TabSpecificationWork_1[[#This Row],[PRICE UNIT $PURCHASE]]</f>
        <v>100000</v>
      </c>
      <c r="Z16" s="73">
        <f>TabSpecificationWork_1[[#This Row],[VAT ADD PRICE $PURCHASE]]*TabSpecificationWork_1[[#This Row],[QUANTITY TOTAL]]+TabSpecificationWork_1[[#This Row],[COST PRICE $PURCHASE]]</f>
        <v>100000</v>
      </c>
      <c r="AA16" s="75"/>
      <c r="AB16" s="67" t="s">
        <v>744</v>
      </c>
      <c r="AC16" s="67"/>
      <c r="AD16" s="67"/>
    </row>
    <row r="17" spans="1:30" ht="115.2" x14ac:dyDescent="0.3">
      <c r="A17" s="72">
        <v>16</v>
      </c>
      <c r="B17" s="65"/>
      <c r="C17" s="66" t="s">
        <v>565</v>
      </c>
      <c r="D17" s="65" t="str">
        <f>MID(TabSpecificationWork_1[[#This Row],[NUM PROJECT]], SEARCH("-N",TabSpecificationWork_1[[#This Row],[NUM PROJECT]])+2, SEARCH("-",TabSpecificationWork_1[[#This Row],[NUM PROJECT]],SEARCH("-",TabSpecificationWork_1[[#This Row],[NUM PROJECT]])+1) - (SEARCH("-N",TabSpecificationWork_1[[#This Row],[NUM PROJECT]])+2))</f>
        <v>3</v>
      </c>
      <c r="E17" s="65">
        <v>1</v>
      </c>
      <c r="F17" s="77" t="s">
        <v>560</v>
      </c>
      <c r="G17" s="65">
        <v>101</v>
      </c>
      <c r="H17" s="65">
        <v>2</v>
      </c>
      <c r="I17"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3.101.2</v>
      </c>
      <c r="J17" s="69" t="s">
        <v>35</v>
      </c>
      <c r="K17" s="70" t="str">
        <f>LOWER(CONCATENATE(TabSpecificationWork_1[[#This Row],[NUM PROJECT]],"-","ver_",TabSpecificationWork_1[[#This Row],[VER COLLECTION]],"-","set_",TabSpecificationWork_1[[#This Row],[NUM FULL SET]],"-",TabSpecificationWork_1[[#This Row],[isSHIPPED]]))</f>
        <v>8/2026-n3-горизонт-ver_1-set_3.101.2-false</v>
      </c>
      <c r="L17" s="78" t="s">
        <v>672</v>
      </c>
      <c r="M17" s="77" t="s">
        <v>573</v>
      </c>
      <c r="N17" s="72" t="s">
        <v>268</v>
      </c>
      <c r="O17" s="72" t="s">
        <v>268</v>
      </c>
      <c r="P17" s="72" t="s">
        <v>550</v>
      </c>
      <c r="Q17" s="72" t="s">
        <v>550</v>
      </c>
      <c r="R17" s="72" t="s">
        <v>33</v>
      </c>
      <c r="S17" s="65">
        <v>1</v>
      </c>
      <c r="T17" s="65">
        <v>1</v>
      </c>
      <c r="U17" s="65">
        <f>TabSpecificationWork_1[[#This Row],[QUANTITY SET]]*TabSpecificationWork_1[[#This Row],[QUANTITY SHIPPED SET]]</f>
        <v>1</v>
      </c>
      <c r="V17" s="65">
        <v>1</v>
      </c>
      <c r="W17" s="83">
        <v>20000</v>
      </c>
      <c r="X17" s="84">
        <v>0</v>
      </c>
      <c r="Y17" s="73">
        <f>TabSpecificationWork_1[[#This Row],[QUANTITY TOTAL]]*TabSpecificationWork_1[[#This Row],[PRICE UNIT $PURCHASE]]</f>
        <v>20000</v>
      </c>
      <c r="Z17" s="73">
        <f>TabSpecificationWork_1[[#This Row],[VAT ADD PRICE $PURCHASE]]*TabSpecificationWork_1[[#This Row],[QUANTITY TOTAL]]+TabSpecificationWork_1[[#This Row],[COST PRICE $PURCHASE]]</f>
        <v>20000</v>
      </c>
      <c r="AA17" s="75"/>
      <c r="AB17" s="67" t="s">
        <v>744</v>
      </c>
      <c r="AC17" s="67"/>
      <c r="AD17" s="67"/>
    </row>
    <row r="18" spans="1:30" ht="86.4" x14ac:dyDescent="0.3">
      <c r="A18" s="72">
        <v>17</v>
      </c>
      <c r="B18" s="65"/>
      <c r="C18" s="66" t="s">
        <v>565</v>
      </c>
      <c r="D18" s="65" t="str">
        <f>MID(TabSpecificationWork_1[[#This Row],[NUM PROJECT]], SEARCH("-N",TabSpecificationWork_1[[#This Row],[NUM PROJECT]])+2, SEARCH("-",TabSpecificationWork_1[[#This Row],[NUM PROJECT]],SEARCH("-",TabSpecificationWork_1[[#This Row],[NUM PROJECT]])+1) - (SEARCH("-N",TabSpecificationWork_1[[#This Row],[NUM PROJECT]])+2))</f>
        <v>3</v>
      </c>
      <c r="E18" s="65">
        <v>1</v>
      </c>
      <c r="F18" s="77" t="s">
        <v>557</v>
      </c>
      <c r="G18" s="65">
        <v>101</v>
      </c>
      <c r="H18" s="65">
        <v>3</v>
      </c>
      <c r="I18"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3.101.3</v>
      </c>
      <c r="J18" s="69" t="s">
        <v>35</v>
      </c>
      <c r="K18" s="70" t="str">
        <f>LOWER(CONCATENATE(TabSpecificationWork_1[[#This Row],[NUM PROJECT]],"-","ver_",TabSpecificationWork_1[[#This Row],[VER COLLECTION]],"-","set_",TabSpecificationWork_1[[#This Row],[NUM FULL SET]],"-",TabSpecificationWork_1[[#This Row],[isSHIPPED]]))</f>
        <v>8/2026-n3-горизонт-ver_1-set_3.101.3-false</v>
      </c>
      <c r="L18" s="78" t="s">
        <v>673</v>
      </c>
      <c r="M18" s="77" t="s">
        <v>566</v>
      </c>
      <c r="N18" s="72" t="s">
        <v>268</v>
      </c>
      <c r="O18" s="72" t="s">
        <v>268</v>
      </c>
      <c r="P18" s="72" t="s">
        <v>550</v>
      </c>
      <c r="Q18" s="72" t="s">
        <v>550</v>
      </c>
      <c r="R18" s="72" t="s">
        <v>33</v>
      </c>
      <c r="S18" s="65">
        <v>1</v>
      </c>
      <c r="T18" s="65">
        <v>1</v>
      </c>
      <c r="U18" s="65">
        <f>TabSpecificationWork_1[[#This Row],[QUANTITY SET]]*TabSpecificationWork_1[[#This Row],[QUANTITY SHIPPED SET]]</f>
        <v>1</v>
      </c>
      <c r="V18" s="65">
        <v>1</v>
      </c>
      <c r="W18" s="83">
        <v>20000</v>
      </c>
      <c r="X18" s="84">
        <v>0</v>
      </c>
      <c r="Y18" s="73">
        <f>TabSpecificationWork_1[[#This Row],[QUANTITY TOTAL]]*TabSpecificationWork_1[[#This Row],[PRICE UNIT $PURCHASE]]</f>
        <v>20000</v>
      </c>
      <c r="Z18" s="73">
        <f>TabSpecificationWork_1[[#This Row],[VAT ADD PRICE $PURCHASE]]*TabSpecificationWork_1[[#This Row],[QUANTITY TOTAL]]+TabSpecificationWork_1[[#This Row],[COST PRICE $PURCHASE]]</f>
        <v>20000</v>
      </c>
      <c r="AA18" s="75"/>
      <c r="AB18" s="67" t="s">
        <v>744</v>
      </c>
      <c r="AC18" s="67"/>
      <c r="AD18" s="67"/>
    </row>
    <row r="19" spans="1:30" ht="144" x14ac:dyDescent="0.3">
      <c r="A19" s="72">
        <v>18</v>
      </c>
      <c r="B19" s="65"/>
      <c r="C19" s="66" t="s">
        <v>565</v>
      </c>
      <c r="D19" s="65" t="str">
        <f>MID(TabSpecificationWork_1[[#This Row],[NUM PROJECT]], SEARCH("-N",TabSpecificationWork_1[[#This Row],[NUM PROJECT]])+2, SEARCH("-",TabSpecificationWork_1[[#This Row],[NUM PROJECT]],SEARCH("-",TabSpecificationWork_1[[#This Row],[NUM PROJECT]])+1) - (SEARCH("-N",TabSpecificationWork_1[[#This Row],[NUM PROJECT]])+2))</f>
        <v>3</v>
      </c>
      <c r="E19" s="65">
        <v>1</v>
      </c>
      <c r="F19" s="77" t="s">
        <v>561</v>
      </c>
      <c r="G19" s="100">
        <v>102</v>
      </c>
      <c r="H19" s="65">
        <v>1</v>
      </c>
      <c r="I19"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3.102.1</v>
      </c>
      <c r="J19" s="69" t="s">
        <v>35</v>
      </c>
      <c r="K19" s="70" t="str">
        <f>LOWER(CONCATENATE(TabSpecificationWork_1[[#This Row],[NUM PROJECT]],"-","ver_",TabSpecificationWork_1[[#This Row],[VER COLLECTION]],"-","set_",TabSpecificationWork_1[[#This Row],[NUM FULL SET]],"-",TabSpecificationWork_1[[#This Row],[isSHIPPED]]))</f>
        <v>8/2026-n3-горизонт-ver_1-set_3.102.1-false</v>
      </c>
      <c r="L19" s="78" t="s">
        <v>674</v>
      </c>
      <c r="M19" s="77" t="s">
        <v>563</v>
      </c>
      <c r="N19" s="72" t="s">
        <v>268</v>
      </c>
      <c r="O19" s="72" t="s">
        <v>268</v>
      </c>
      <c r="P19" s="72" t="s">
        <v>550</v>
      </c>
      <c r="Q19" s="72" t="s">
        <v>550</v>
      </c>
      <c r="R19" s="72" t="s">
        <v>33</v>
      </c>
      <c r="S19" s="65">
        <v>1</v>
      </c>
      <c r="T19" s="65">
        <v>1</v>
      </c>
      <c r="U19" s="65">
        <f>TabSpecificationWork_1[[#This Row],[QUANTITY SET]]*TabSpecificationWork_1[[#This Row],[QUANTITY SHIPPED SET]]</f>
        <v>1</v>
      </c>
      <c r="V19" s="65">
        <v>1</v>
      </c>
      <c r="W19" s="83">
        <v>800000</v>
      </c>
      <c r="X19" s="84">
        <v>0</v>
      </c>
      <c r="Y19" s="73">
        <f>TabSpecificationWork_1[[#This Row],[QUANTITY TOTAL]]*TabSpecificationWork_1[[#This Row],[PRICE UNIT $PURCHASE]]</f>
        <v>800000</v>
      </c>
      <c r="Z19" s="73">
        <f>TabSpecificationWork_1[[#This Row],[VAT ADD PRICE $PURCHASE]]*TabSpecificationWork_1[[#This Row],[QUANTITY TOTAL]]+TabSpecificationWork_1[[#This Row],[COST PRICE $PURCHASE]]</f>
        <v>800000</v>
      </c>
      <c r="AA19" s="75"/>
      <c r="AB19" s="67" t="s">
        <v>745</v>
      </c>
      <c r="AC19" s="67"/>
      <c r="AD19" s="67"/>
    </row>
    <row r="20" spans="1:30" ht="144" x14ac:dyDescent="0.3">
      <c r="A20" s="72">
        <v>19</v>
      </c>
      <c r="B20" s="65"/>
      <c r="C20" s="66" t="s">
        <v>565</v>
      </c>
      <c r="D20" s="65" t="str">
        <f>MID(TabSpecificationWork_1[[#This Row],[NUM PROJECT]], SEARCH("-N",TabSpecificationWork_1[[#This Row],[NUM PROJECT]])+2, SEARCH("-",TabSpecificationWork_1[[#This Row],[NUM PROJECT]],SEARCH("-",TabSpecificationWork_1[[#This Row],[NUM PROJECT]])+1) - (SEARCH("-N",TabSpecificationWork_1[[#This Row],[NUM PROJECT]])+2))</f>
        <v>3</v>
      </c>
      <c r="E20" s="65">
        <v>1</v>
      </c>
      <c r="F20" s="77" t="s">
        <v>562</v>
      </c>
      <c r="G20" s="100">
        <v>103</v>
      </c>
      <c r="H20" s="65">
        <v>1</v>
      </c>
      <c r="I20"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3.103.1</v>
      </c>
      <c r="J20" s="69" t="s">
        <v>35</v>
      </c>
      <c r="K20" s="70" t="str">
        <f>LOWER(CONCATENATE(TabSpecificationWork_1[[#This Row],[NUM PROJECT]],"-","ver_",TabSpecificationWork_1[[#This Row],[VER COLLECTION]],"-","set_",TabSpecificationWork_1[[#This Row],[NUM FULL SET]],"-",TabSpecificationWork_1[[#This Row],[isSHIPPED]]))</f>
        <v>8/2026-n3-горизонт-ver_1-set_3.103.1-false</v>
      </c>
      <c r="L20" s="78" t="s">
        <v>675</v>
      </c>
      <c r="M20" s="77" t="s">
        <v>564</v>
      </c>
      <c r="N20" s="72" t="s">
        <v>268</v>
      </c>
      <c r="O20" s="72" t="s">
        <v>268</v>
      </c>
      <c r="P20" s="72" t="s">
        <v>550</v>
      </c>
      <c r="Q20" s="72" t="s">
        <v>550</v>
      </c>
      <c r="R20" s="72" t="s">
        <v>33</v>
      </c>
      <c r="S20" s="65">
        <v>1</v>
      </c>
      <c r="T20" s="65">
        <v>1</v>
      </c>
      <c r="U20" s="65">
        <f>TabSpecificationWork_1[[#This Row],[QUANTITY SET]]*TabSpecificationWork_1[[#This Row],[QUANTITY SHIPPED SET]]</f>
        <v>1</v>
      </c>
      <c r="V20" s="65">
        <v>1</v>
      </c>
      <c r="W20" s="83">
        <v>300000</v>
      </c>
      <c r="X20" s="84">
        <v>0</v>
      </c>
      <c r="Y20" s="73">
        <f>TabSpecificationWork_1[[#This Row],[QUANTITY TOTAL]]*TabSpecificationWork_1[[#This Row],[PRICE UNIT $PURCHASE]]</f>
        <v>300000</v>
      </c>
      <c r="Z20" s="73">
        <f>TabSpecificationWork_1[[#This Row],[VAT ADD PRICE $PURCHASE]]*TabSpecificationWork_1[[#This Row],[QUANTITY TOTAL]]+TabSpecificationWork_1[[#This Row],[COST PRICE $PURCHASE]]</f>
        <v>300000</v>
      </c>
      <c r="AA20" s="75"/>
      <c r="AB20" s="67" t="s">
        <v>746</v>
      </c>
      <c r="AC20" s="67"/>
      <c r="AD20" s="67"/>
    </row>
    <row r="21" spans="1:30" ht="115.2" x14ac:dyDescent="0.3">
      <c r="A21" s="72">
        <v>20</v>
      </c>
      <c r="B21" s="65"/>
      <c r="C21" s="66" t="s">
        <v>565</v>
      </c>
      <c r="D21" s="65" t="str">
        <f>MID(TabSpecificationWork_1[[#This Row],[NUM PROJECT]], SEARCH("-N",TabSpecificationWork_1[[#This Row],[NUM PROJECT]])+2, SEARCH("-",TabSpecificationWork_1[[#This Row],[NUM PROJECT]],SEARCH("-",TabSpecificationWork_1[[#This Row],[NUM PROJECT]])+1) - (SEARCH("-N",TabSpecificationWork_1[[#This Row],[NUM PROJECT]])+2))</f>
        <v>3</v>
      </c>
      <c r="E21" s="65">
        <v>1</v>
      </c>
      <c r="F21" s="67" t="s">
        <v>557</v>
      </c>
      <c r="G21" s="65">
        <v>201</v>
      </c>
      <c r="H21" s="65">
        <v>1</v>
      </c>
      <c r="I21"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3.201.1</v>
      </c>
      <c r="J21" s="69" t="s">
        <v>29</v>
      </c>
      <c r="K21" s="70" t="str">
        <f>LOWER(CONCATENATE(TabSpecificationWork_1[[#This Row],[NUM PROJECT]],"-","ver_",TabSpecificationWork_1[[#This Row],[VER COLLECTION]],"-","set_",TabSpecificationWork_1[[#This Row],[NUM FULL SET]],"-",TabSpecificationWork_1[[#This Row],[isSHIPPED]]))</f>
        <v>8/2026-n3-горизонт-ver_1-set_3.201.1-true</v>
      </c>
      <c r="L21" s="78" t="s">
        <v>676</v>
      </c>
      <c r="M21" s="77" t="s">
        <v>572</v>
      </c>
      <c r="N21" s="72" t="s">
        <v>268</v>
      </c>
      <c r="O21" s="72" t="s">
        <v>268</v>
      </c>
      <c r="P21" s="72" t="s">
        <v>550</v>
      </c>
      <c r="Q21" s="72" t="s">
        <v>550</v>
      </c>
      <c r="R21" s="72" t="s">
        <v>33</v>
      </c>
      <c r="S21" s="65">
        <v>1</v>
      </c>
      <c r="T21" s="65">
        <v>1</v>
      </c>
      <c r="U21" s="65">
        <f>TabSpecificationWork_1[[#This Row],[QUANTITY SET]]*TabSpecificationWork_1[[#This Row],[QUANTITY SHIPPED SET]]</f>
        <v>1</v>
      </c>
      <c r="V21" s="65">
        <v>1</v>
      </c>
      <c r="W21" s="79">
        <v>100000</v>
      </c>
      <c r="X21" s="84">
        <v>0</v>
      </c>
      <c r="Y21" s="73">
        <f>TabSpecificationWork_1[[#This Row],[QUANTITY TOTAL]]*TabSpecificationWork_1[[#This Row],[PRICE UNIT $PURCHASE]]</f>
        <v>100000</v>
      </c>
      <c r="Z21" s="73">
        <f>TabSpecificationWork_1[[#This Row],[VAT ADD PRICE $PURCHASE]]*TabSpecificationWork_1[[#This Row],[QUANTITY TOTAL]]+TabSpecificationWork_1[[#This Row],[COST PRICE $PURCHASE]]</f>
        <v>100000</v>
      </c>
      <c r="AA21" s="75"/>
      <c r="AB21" s="67" t="s">
        <v>653</v>
      </c>
      <c r="AC21" s="67"/>
      <c r="AD21" s="67"/>
    </row>
    <row r="22" spans="1:30" ht="115.2" x14ac:dyDescent="0.3">
      <c r="A22" s="72">
        <v>21</v>
      </c>
      <c r="B22" s="65"/>
      <c r="C22" s="66" t="s">
        <v>565</v>
      </c>
      <c r="D22" s="65" t="str">
        <f>MID(TabSpecificationWork_1[[#This Row],[NUM PROJECT]], SEARCH("-N",TabSpecificationWork_1[[#This Row],[NUM PROJECT]])+2, SEARCH("-",TabSpecificationWork_1[[#This Row],[NUM PROJECT]],SEARCH("-",TabSpecificationWork_1[[#This Row],[NUM PROJECT]])+1) - (SEARCH("-N",TabSpecificationWork_1[[#This Row],[NUM PROJECT]])+2))</f>
        <v>3</v>
      </c>
      <c r="E22" s="65">
        <v>1</v>
      </c>
      <c r="F22" s="77" t="s">
        <v>560</v>
      </c>
      <c r="G22" s="65">
        <v>201</v>
      </c>
      <c r="H22" s="65">
        <v>2</v>
      </c>
      <c r="I22"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3.201.2</v>
      </c>
      <c r="J22" s="69" t="s">
        <v>29</v>
      </c>
      <c r="K22" s="70" t="str">
        <f>LOWER(CONCATENATE(TabSpecificationWork_1[[#This Row],[NUM PROJECT]],"-","ver_",TabSpecificationWork_1[[#This Row],[VER COLLECTION]],"-","set_",TabSpecificationWork_1[[#This Row],[NUM FULL SET]],"-",TabSpecificationWork_1[[#This Row],[isSHIPPED]]))</f>
        <v>8/2026-n3-горизонт-ver_1-set_3.201.2-true</v>
      </c>
      <c r="L22" s="78" t="s">
        <v>677</v>
      </c>
      <c r="M22" s="77" t="s">
        <v>573</v>
      </c>
      <c r="N22" s="72" t="s">
        <v>268</v>
      </c>
      <c r="O22" s="72" t="s">
        <v>268</v>
      </c>
      <c r="P22" s="72" t="s">
        <v>550</v>
      </c>
      <c r="Q22" s="72" t="s">
        <v>550</v>
      </c>
      <c r="R22" s="72" t="s">
        <v>33</v>
      </c>
      <c r="S22" s="65">
        <v>1</v>
      </c>
      <c r="T22" s="65">
        <v>1</v>
      </c>
      <c r="U22" s="65">
        <f>TabSpecificationWork_1[[#This Row],[QUANTITY SET]]*TabSpecificationWork_1[[#This Row],[QUANTITY SHIPPED SET]]</f>
        <v>1</v>
      </c>
      <c r="V22" s="65">
        <v>1</v>
      </c>
      <c r="W22" s="79">
        <v>20000</v>
      </c>
      <c r="X22" s="84">
        <v>0</v>
      </c>
      <c r="Y22" s="73">
        <f>TabSpecificationWork_1[[#This Row],[QUANTITY TOTAL]]*TabSpecificationWork_1[[#This Row],[PRICE UNIT $PURCHASE]]</f>
        <v>20000</v>
      </c>
      <c r="Z22" s="73">
        <f>TabSpecificationWork_1[[#This Row],[VAT ADD PRICE $PURCHASE]]*TabSpecificationWork_1[[#This Row],[QUANTITY TOTAL]]+TabSpecificationWork_1[[#This Row],[COST PRICE $PURCHASE]]</f>
        <v>20000</v>
      </c>
      <c r="AA22" s="75"/>
      <c r="AB22" s="67" t="s">
        <v>653</v>
      </c>
      <c r="AC22" s="67"/>
      <c r="AD22" s="67"/>
    </row>
    <row r="23" spans="1:30" ht="86.4" x14ac:dyDescent="0.3">
      <c r="A23" s="72">
        <v>22</v>
      </c>
      <c r="B23" s="65"/>
      <c r="C23" s="66" t="s">
        <v>565</v>
      </c>
      <c r="D23" s="65" t="str">
        <f>MID(TabSpecificationWork_1[[#This Row],[NUM PROJECT]], SEARCH("-N",TabSpecificationWork_1[[#This Row],[NUM PROJECT]])+2, SEARCH("-",TabSpecificationWork_1[[#This Row],[NUM PROJECT]],SEARCH("-",TabSpecificationWork_1[[#This Row],[NUM PROJECT]])+1) - (SEARCH("-N",TabSpecificationWork_1[[#This Row],[NUM PROJECT]])+2))</f>
        <v>3</v>
      </c>
      <c r="E23" s="65">
        <v>1</v>
      </c>
      <c r="F23" s="77" t="s">
        <v>557</v>
      </c>
      <c r="G23" s="65">
        <v>201</v>
      </c>
      <c r="H23" s="65">
        <v>3</v>
      </c>
      <c r="I23"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3.201.3</v>
      </c>
      <c r="J23" s="69" t="s">
        <v>29</v>
      </c>
      <c r="K23" s="70" t="str">
        <f>LOWER(CONCATENATE(TabSpecificationWork_1[[#This Row],[NUM PROJECT]],"-","ver_",TabSpecificationWork_1[[#This Row],[VER COLLECTION]],"-","set_",TabSpecificationWork_1[[#This Row],[NUM FULL SET]],"-",TabSpecificationWork_1[[#This Row],[isSHIPPED]]))</f>
        <v>8/2026-n3-горизонт-ver_1-set_3.201.3-true</v>
      </c>
      <c r="L23" s="78" t="s">
        <v>678</v>
      </c>
      <c r="M23" s="77" t="s">
        <v>566</v>
      </c>
      <c r="N23" s="72" t="s">
        <v>268</v>
      </c>
      <c r="O23" s="72" t="s">
        <v>268</v>
      </c>
      <c r="P23" s="72" t="s">
        <v>550</v>
      </c>
      <c r="Q23" s="72" t="s">
        <v>550</v>
      </c>
      <c r="R23" s="72" t="s">
        <v>33</v>
      </c>
      <c r="S23" s="65">
        <v>1</v>
      </c>
      <c r="T23" s="65">
        <v>1</v>
      </c>
      <c r="U23" s="65">
        <f>TabSpecificationWork_1[[#This Row],[QUANTITY SET]]*TabSpecificationWork_1[[#This Row],[QUANTITY SHIPPED SET]]</f>
        <v>1</v>
      </c>
      <c r="V23" s="65">
        <v>1</v>
      </c>
      <c r="W23" s="79">
        <v>20000</v>
      </c>
      <c r="X23" s="84">
        <v>0</v>
      </c>
      <c r="Y23" s="73">
        <f>TabSpecificationWork_1[[#This Row],[QUANTITY TOTAL]]*TabSpecificationWork_1[[#This Row],[PRICE UNIT $PURCHASE]]</f>
        <v>20000</v>
      </c>
      <c r="Z23" s="73">
        <f>TabSpecificationWork_1[[#This Row],[VAT ADD PRICE $PURCHASE]]*TabSpecificationWork_1[[#This Row],[QUANTITY TOTAL]]+TabSpecificationWork_1[[#This Row],[COST PRICE $PURCHASE]]</f>
        <v>20000</v>
      </c>
      <c r="AA23" s="75"/>
      <c r="AB23" s="67" t="s">
        <v>653</v>
      </c>
      <c r="AC23" s="67"/>
      <c r="AD23" s="67"/>
    </row>
    <row r="24" spans="1:30" ht="100.8" x14ac:dyDescent="0.3">
      <c r="A24" s="72">
        <v>23</v>
      </c>
      <c r="B24" s="65"/>
      <c r="C24" s="66" t="s">
        <v>565</v>
      </c>
      <c r="D24" s="65" t="str">
        <f>MID(TabSpecificationWork_1[[#This Row],[NUM PROJECT]], SEARCH("-N",TabSpecificationWork_1[[#This Row],[NUM PROJECT]])+2, SEARCH("-",TabSpecificationWork_1[[#This Row],[NUM PROJECT]],SEARCH("-",TabSpecificationWork_1[[#This Row],[NUM PROJECT]])+1) - (SEARCH("-N",TabSpecificationWork_1[[#This Row],[NUM PROJECT]])+2))</f>
        <v>3</v>
      </c>
      <c r="E24" s="65">
        <v>1</v>
      </c>
      <c r="F24" s="77" t="s">
        <v>561</v>
      </c>
      <c r="G24" s="100">
        <v>202</v>
      </c>
      <c r="H24" s="65">
        <v>1</v>
      </c>
      <c r="I24"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3.202.1</v>
      </c>
      <c r="J24" s="69" t="s">
        <v>29</v>
      </c>
      <c r="K24" s="70" t="str">
        <f>LOWER(CONCATENATE(TabSpecificationWork_1[[#This Row],[NUM PROJECT]],"-","ver_",TabSpecificationWork_1[[#This Row],[VER COLLECTION]],"-","set_",TabSpecificationWork_1[[#This Row],[NUM FULL SET]],"-",TabSpecificationWork_1[[#This Row],[isSHIPPED]]))</f>
        <v>8/2026-n3-горизонт-ver_1-set_3.202.1-true</v>
      </c>
      <c r="L24" s="78" t="s">
        <v>679</v>
      </c>
      <c r="M24" s="77" t="s">
        <v>563</v>
      </c>
      <c r="N24" s="72" t="s">
        <v>268</v>
      </c>
      <c r="O24" s="72" t="s">
        <v>268</v>
      </c>
      <c r="P24" s="72" t="s">
        <v>550</v>
      </c>
      <c r="Q24" s="72" t="s">
        <v>550</v>
      </c>
      <c r="R24" s="72" t="s">
        <v>33</v>
      </c>
      <c r="S24" s="65">
        <v>1</v>
      </c>
      <c r="T24" s="65">
        <v>1</v>
      </c>
      <c r="U24" s="65">
        <f>TabSpecificationWork_1[[#This Row],[QUANTITY SET]]*TabSpecificationWork_1[[#This Row],[QUANTITY SHIPPED SET]]</f>
        <v>1</v>
      </c>
      <c r="V24" s="65">
        <v>1</v>
      </c>
      <c r="W24" s="79">
        <v>800000</v>
      </c>
      <c r="X24" s="84">
        <v>0</v>
      </c>
      <c r="Y24" s="73">
        <f>TabSpecificationWork_1[[#This Row],[QUANTITY TOTAL]]*TabSpecificationWork_1[[#This Row],[PRICE UNIT $PURCHASE]]</f>
        <v>800000</v>
      </c>
      <c r="Z24" s="73">
        <f>TabSpecificationWork_1[[#This Row],[VAT ADD PRICE $PURCHASE]]*TabSpecificationWork_1[[#This Row],[QUANTITY TOTAL]]+TabSpecificationWork_1[[#This Row],[COST PRICE $PURCHASE]]</f>
        <v>800000</v>
      </c>
      <c r="AA24" s="75"/>
      <c r="AB24" s="67" t="s">
        <v>654</v>
      </c>
      <c r="AC24" s="67"/>
      <c r="AD24" s="67"/>
    </row>
    <row r="25" spans="1:30" ht="144" x14ac:dyDescent="0.3">
      <c r="A25" s="72">
        <v>24</v>
      </c>
      <c r="B25" s="65"/>
      <c r="C25" s="66" t="s">
        <v>565</v>
      </c>
      <c r="D25" s="65" t="str">
        <f>MID(TabSpecificationWork_1[[#This Row],[NUM PROJECT]], SEARCH("-N",TabSpecificationWork_1[[#This Row],[NUM PROJECT]])+2, SEARCH("-",TabSpecificationWork_1[[#This Row],[NUM PROJECT]],SEARCH("-",TabSpecificationWork_1[[#This Row],[NUM PROJECT]])+1) - (SEARCH("-N",TabSpecificationWork_1[[#This Row],[NUM PROJECT]])+2))</f>
        <v>3</v>
      </c>
      <c r="E25" s="65">
        <v>1</v>
      </c>
      <c r="F25" s="77" t="s">
        <v>562</v>
      </c>
      <c r="G25" s="100">
        <v>203</v>
      </c>
      <c r="H25" s="65">
        <v>1</v>
      </c>
      <c r="I25"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3.203.1</v>
      </c>
      <c r="J25" s="69" t="s">
        <v>29</v>
      </c>
      <c r="K25" s="70" t="str">
        <f>LOWER(CONCATENATE(TabSpecificationWork_1[[#This Row],[NUM PROJECT]],"-","ver_",TabSpecificationWork_1[[#This Row],[VER COLLECTION]],"-","set_",TabSpecificationWork_1[[#This Row],[NUM FULL SET]],"-",TabSpecificationWork_1[[#This Row],[isSHIPPED]]))</f>
        <v>8/2026-n3-горизонт-ver_1-set_3.203.1-true</v>
      </c>
      <c r="L25" s="78" t="s">
        <v>680</v>
      </c>
      <c r="M25" s="77" t="s">
        <v>564</v>
      </c>
      <c r="N25" s="72" t="s">
        <v>268</v>
      </c>
      <c r="O25" s="72" t="s">
        <v>268</v>
      </c>
      <c r="P25" s="72" t="s">
        <v>550</v>
      </c>
      <c r="Q25" s="72" t="s">
        <v>550</v>
      </c>
      <c r="R25" s="72" t="s">
        <v>33</v>
      </c>
      <c r="S25" s="65">
        <v>1</v>
      </c>
      <c r="T25" s="65">
        <v>1</v>
      </c>
      <c r="U25" s="65">
        <f>TabSpecificationWork_1[[#This Row],[QUANTITY SET]]*TabSpecificationWork_1[[#This Row],[QUANTITY SHIPPED SET]]</f>
        <v>1</v>
      </c>
      <c r="V25" s="65">
        <v>1</v>
      </c>
      <c r="W25" s="79">
        <v>300000</v>
      </c>
      <c r="X25" s="84">
        <v>0</v>
      </c>
      <c r="Y25" s="73">
        <f>TabSpecificationWork_1[[#This Row],[QUANTITY TOTAL]]*TabSpecificationWork_1[[#This Row],[PRICE UNIT $PURCHASE]]</f>
        <v>300000</v>
      </c>
      <c r="Z25" s="73">
        <f>TabSpecificationWork_1[[#This Row],[VAT ADD PRICE $PURCHASE]]*TabSpecificationWork_1[[#This Row],[QUANTITY TOTAL]]+TabSpecificationWork_1[[#This Row],[COST PRICE $PURCHASE]]</f>
        <v>300000</v>
      </c>
      <c r="AA25" s="75"/>
      <c r="AB25" s="67" t="s">
        <v>655</v>
      </c>
      <c r="AC25" s="67"/>
      <c r="AD25" s="67"/>
    </row>
    <row r="26" spans="1:30" ht="115.2" x14ac:dyDescent="0.3">
      <c r="A26" s="72">
        <v>25</v>
      </c>
      <c r="B26" s="65"/>
      <c r="C26" s="66" t="s">
        <v>565</v>
      </c>
      <c r="D26" s="65" t="str">
        <f>MID(TabSpecificationWork_1[[#This Row],[NUM PROJECT]], SEARCH("-N",TabSpecificationWork_1[[#This Row],[NUM PROJECT]])+2, SEARCH("-",TabSpecificationWork_1[[#This Row],[NUM PROJECT]],SEARCH("-",TabSpecificationWork_1[[#This Row],[NUM PROJECT]])+1) - (SEARCH("-N",TabSpecificationWork_1[[#This Row],[NUM PROJECT]])+2))</f>
        <v>3</v>
      </c>
      <c r="E26" s="65">
        <v>1</v>
      </c>
      <c r="F26" s="67" t="s">
        <v>557</v>
      </c>
      <c r="G26" s="65">
        <v>301</v>
      </c>
      <c r="H26" s="65">
        <v>1</v>
      </c>
      <c r="I26"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3.301.1</v>
      </c>
      <c r="J26" s="69" t="s">
        <v>29</v>
      </c>
      <c r="K26" s="70" t="str">
        <f>LOWER(CONCATENATE(TabSpecificationWork_1[[#This Row],[NUM PROJECT]],"-","ver_",TabSpecificationWork_1[[#This Row],[VER COLLECTION]],"-","set_",TabSpecificationWork_1[[#This Row],[NUM FULL SET]],"-",TabSpecificationWork_1[[#This Row],[isSHIPPED]]))</f>
        <v>8/2026-n3-горизонт-ver_1-set_3.301.1-true</v>
      </c>
      <c r="L26" s="78" t="s">
        <v>681</v>
      </c>
      <c r="M26" s="77" t="s">
        <v>572</v>
      </c>
      <c r="N26" s="72" t="s">
        <v>268</v>
      </c>
      <c r="O26" s="72" t="s">
        <v>268</v>
      </c>
      <c r="P26" s="72" t="s">
        <v>550</v>
      </c>
      <c r="Q26" s="72" t="s">
        <v>550</v>
      </c>
      <c r="R26" s="72" t="s">
        <v>33</v>
      </c>
      <c r="S26" s="65">
        <v>1</v>
      </c>
      <c r="T26" s="65">
        <v>1</v>
      </c>
      <c r="U26" s="65">
        <f>TabSpecificationWork_1[[#This Row],[QUANTITY SET]]*TabSpecificationWork_1[[#This Row],[QUANTITY SHIPPED SET]]</f>
        <v>1</v>
      </c>
      <c r="V26" s="65">
        <v>1</v>
      </c>
      <c r="W26" s="80">
        <v>100000</v>
      </c>
      <c r="X26" s="84">
        <v>0</v>
      </c>
      <c r="Y26" s="73">
        <f>TabSpecificationWork_1[[#This Row],[QUANTITY TOTAL]]*TabSpecificationWork_1[[#This Row],[PRICE UNIT $PURCHASE]]</f>
        <v>100000</v>
      </c>
      <c r="Z26" s="81">
        <f>TabSpecificationWork_1[[#This Row],[VAT ADD PRICE $PURCHASE]]*TabSpecificationWork_1[[#This Row],[QUANTITY TOTAL]]+TabSpecificationWork_1[[#This Row],[COST PRICE $PURCHASE]]</f>
        <v>100000</v>
      </c>
      <c r="AA26" s="82"/>
      <c r="AB26" s="67" t="s">
        <v>653</v>
      </c>
      <c r="AC26" s="67"/>
      <c r="AD26" s="67"/>
    </row>
    <row r="27" spans="1:30" ht="115.2" x14ac:dyDescent="0.3">
      <c r="A27" s="72">
        <v>26</v>
      </c>
      <c r="B27" s="65"/>
      <c r="C27" s="66" t="s">
        <v>565</v>
      </c>
      <c r="D27" s="65" t="str">
        <f>MID(TabSpecificationWork_1[[#This Row],[NUM PROJECT]], SEARCH("-N",TabSpecificationWork_1[[#This Row],[NUM PROJECT]])+2, SEARCH("-",TabSpecificationWork_1[[#This Row],[NUM PROJECT]],SEARCH("-",TabSpecificationWork_1[[#This Row],[NUM PROJECT]])+1) - (SEARCH("-N",TabSpecificationWork_1[[#This Row],[NUM PROJECT]])+2))</f>
        <v>3</v>
      </c>
      <c r="E27" s="65">
        <v>1</v>
      </c>
      <c r="F27" s="77" t="s">
        <v>560</v>
      </c>
      <c r="G27" s="65">
        <v>301</v>
      </c>
      <c r="H27" s="65">
        <v>2</v>
      </c>
      <c r="I27"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3.301.2</v>
      </c>
      <c r="J27" s="69" t="s">
        <v>29</v>
      </c>
      <c r="K27" s="70" t="str">
        <f>LOWER(CONCATENATE(TabSpecificationWork_1[[#This Row],[NUM PROJECT]],"-","ver_",TabSpecificationWork_1[[#This Row],[VER COLLECTION]],"-","set_",TabSpecificationWork_1[[#This Row],[NUM FULL SET]],"-",TabSpecificationWork_1[[#This Row],[isSHIPPED]]))</f>
        <v>8/2026-n3-горизонт-ver_1-set_3.301.2-true</v>
      </c>
      <c r="L27" s="78" t="s">
        <v>682</v>
      </c>
      <c r="M27" s="77" t="s">
        <v>573</v>
      </c>
      <c r="N27" s="72" t="s">
        <v>268</v>
      </c>
      <c r="O27" s="72" t="s">
        <v>268</v>
      </c>
      <c r="P27" s="72" t="s">
        <v>550</v>
      </c>
      <c r="Q27" s="72" t="s">
        <v>550</v>
      </c>
      <c r="R27" s="72" t="s">
        <v>33</v>
      </c>
      <c r="S27" s="65">
        <v>1</v>
      </c>
      <c r="T27" s="65">
        <v>1</v>
      </c>
      <c r="U27" s="65">
        <f>TabSpecificationWork_1[[#This Row],[QUANTITY SET]]*TabSpecificationWork_1[[#This Row],[QUANTITY SHIPPED SET]]</f>
        <v>1</v>
      </c>
      <c r="V27" s="65">
        <v>1</v>
      </c>
      <c r="W27" s="80">
        <v>20000</v>
      </c>
      <c r="X27" s="84">
        <v>0</v>
      </c>
      <c r="Y27" s="73">
        <f>TabSpecificationWork_1[[#This Row],[QUANTITY TOTAL]]*TabSpecificationWork_1[[#This Row],[PRICE UNIT $PURCHASE]]</f>
        <v>20000</v>
      </c>
      <c r="Z27" s="81">
        <f>TabSpecificationWork_1[[#This Row],[VAT ADD PRICE $PURCHASE]]*TabSpecificationWork_1[[#This Row],[QUANTITY TOTAL]]+TabSpecificationWork_1[[#This Row],[COST PRICE $PURCHASE]]</f>
        <v>20000</v>
      </c>
      <c r="AA27" s="82"/>
      <c r="AB27" s="67" t="s">
        <v>653</v>
      </c>
      <c r="AC27" s="67"/>
      <c r="AD27" s="67"/>
    </row>
    <row r="28" spans="1:30" ht="86.4" x14ac:dyDescent="0.3">
      <c r="A28" s="72">
        <v>27</v>
      </c>
      <c r="B28" s="65"/>
      <c r="C28" s="66" t="s">
        <v>565</v>
      </c>
      <c r="D28" s="65" t="str">
        <f>MID(TabSpecificationWork_1[[#This Row],[NUM PROJECT]], SEARCH("-N",TabSpecificationWork_1[[#This Row],[NUM PROJECT]])+2, SEARCH("-",TabSpecificationWork_1[[#This Row],[NUM PROJECT]],SEARCH("-",TabSpecificationWork_1[[#This Row],[NUM PROJECT]])+1) - (SEARCH("-N",TabSpecificationWork_1[[#This Row],[NUM PROJECT]])+2))</f>
        <v>3</v>
      </c>
      <c r="E28" s="65">
        <v>1</v>
      </c>
      <c r="F28" s="77" t="s">
        <v>557</v>
      </c>
      <c r="G28" s="65">
        <v>301</v>
      </c>
      <c r="H28" s="65">
        <v>3</v>
      </c>
      <c r="I28"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3.301.3</v>
      </c>
      <c r="J28" s="69" t="s">
        <v>29</v>
      </c>
      <c r="K28" s="70" t="str">
        <f>LOWER(CONCATENATE(TabSpecificationWork_1[[#This Row],[NUM PROJECT]],"-","ver_",TabSpecificationWork_1[[#This Row],[VER COLLECTION]],"-","set_",TabSpecificationWork_1[[#This Row],[NUM FULL SET]],"-",TabSpecificationWork_1[[#This Row],[isSHIPPED]]))</f>
        <v>8/2026-n3-горизонт-ver_1-set_3.301.3-true</v>
      </c>
      <c r="L28" s="78" t="s">
        <v>683</v>
      </c>
      <c r="M28" s="77" t="s">
        <v>566</v>
      </c>
      <c r="N28" s="72" t="s">
        <v>268</v>
      </c>
      <c r="O28" s="72" t="s">
        <v>268</v>
      </c>
      <c r="P28" s="72" t="s">
        <v>550</v>
      </c>
      <c r="Q28" s="72" t="s">
        <v>550</v>
      </c>
      <c r="R28" s="72" t="s">
        <v>33</v>
      </c>
      <c r="S28" s="65">
        <v>1</v>
      </c>
      <c r="T28" s="65">
        <v>1</v>
      </c>
      <c r="U28" s="65">
        <f>TabSpecificationWork_1[[#This Row],[QUANTITY SET]]*TabSpecificationWork_1[[#This Row],[QUANTITY SHIPPED SET]]</f>
        <v>1</v>
      </c>
      <c r="V28" s="65">
        <v>1</v>
      </c>
      <c r="W28" s="80">
        <v>20000</v>
      </c>
      <c r="X28" s="84">
        <v>0</v>
      </c>
      <c r="Y28" s="73">
        <f>TabSpecificationWork_1[[#This Row],[QUANTITY TOTAL]]*TabSpecificationWork_1[[#This Row],[PRICE UNIT $PURCHASE]]</f>
        <v>20000</v>
      </c>
      <c r="Z28" s="81">
        <f>TabSpecificationWork_1[[#This Row],[VAT ADD PRICE $PURCHASE]]*TabSpecificationWork_1[[#This Row],[QUANTITY TOTAL]]+TabSpecificationWork_1[[#This Row],[COST PRICE $PURCHASE]]</f>
        <v>20000</v>
      </c>
      <c r="AA28" s="82"/>
      <c r="AB28" s="67" t="s">
        <v>653</v>
      </c>
      <c r="AC28" s="67"/>
      <c r="AD28" s="67"/>
    </row>
    <row r="29" spans="1:30" ht="100.8" x14ac:dyDescent="0.3">
      <c r="A29" s="72">
        <v>28</v>
      </c>
      <c r="B29" s="65"/>
      <c r="C29" s="66" t="s">
        <v>565</v>
      </c>
      <c r="D29" s="65" t="str">
        <f>MID(TabSpecificationWork_1[[#This Row],[NUM PROJECT]], SEARCH("-N",TabSpecificationWork_1[[#This Row],[NUM PROJECT]])+2, SEARCH("-",TabSpecificationWork_1[[#This Row],[NUM PROJECT]],SEARCH("-",TabSpecificationWork_1[[#This Row],[NUM PROJECT]])+1) - (SEARCH("-N",TabSpecificationWork_1[[#This Row],[NUM PROJECT]])+2))</f>
        <v>3</v>
      </c>
      <c r="E29" s="65">
        <v>1</v>
      </c>
      <c r="F29" s="77" t="s">
        <v>561</v>
      </c>
      <c r="G29" s="100">
        <v>302</v>
      </c>
      <c r="H29" s="65">
        <v>1</v>
      </c>
      <c r="I29"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3.302.1</v>
      </c>
      <c r="J29" s="69" t="s">
        <v>29</v>
      </c>
      <c r="K29" s="70" t="str">
        <f>LOWER(CONCATENATE(TabSpecificationWork_1[[#This Row],[NUM PROJECT]],"-","ver_",TabSpecificationWork_1[[#This Row],[VER COLLECTION]],"-","set_",TabSpecificationWork_1[[#This Row],[NUM FULL SET]],"-",TabSpecificationWork_1[[#This Row],[isSHIPPED]]))</f>
        <v>8/2026-n3-горизонт-ver_1-set_3.302.1-true</v>
      </c>
      <c r="L29" s="78" t="s">
        <v>684</v>
      </c>
      <c r="M29" s="77" t="s">
        <v>563</v>
      </c>
      <c r="N29" s="72" t="s">
        <v>268</v>
      </c>
      <c r="O29" s="72" t="s">
        <v>268</v>
      </c>
      <c r="P29" s="72" t="s">
        <v>550</v>
      </c>
      <c r="Q29" s="72" t="s">
        <v>550</v>
      </c>
      <c r="R29" s="72" t="s">
        <v>33</v>
      </c>
      <c r="S29" s="65">
        <v>1</v>
      </c>
      <c r="T29" s="65">
        <v>1</v>
      </c>
      <c r="U29" s="65">
        <f>TabSpecificationWork_1[[#This Row],[QUANTITY SET]]*TabSpecificationWork_1[[#This Row],[QUANTITY SHIPPED SET]]</f>
        <v>1</v>
      </c>
      <c r="V29" s="65">
        <v>1</v>
      </c>
      <c r="W29" s="80">
        <v>800000</v>
      </c>
      <c r="X29" s="84">
        <v>0</v>
      </c>
      <c r="Y29" s="73">
        <f>TabSpecificationWork_1[[#This Row],[QUANTITY TOTAL]]*TabSpecificationWork_1[[#This Row],[PRICE UNIT $PURCHASE]]</f>
        <v>800000</v>
      </c>
      <c r="Z29" s="81">
        <f>TabSpecificationWork_1[[#This Row],[VAT ADD PRICE $PURCHASE]]*TabSpecificationWork_1[[#This Row],[QUANTITY TOTAL]]+TabSpecificationWork_1[[#This Row],[COST PRICE $PURCHASE]]</f>
        <v>800000</v>
      </c>
      <c r="AA29" s="82"/>
      <c r="AB29" s="67" t="s">
        <v>654</v>
      </c>
      <c r="AC29" s="67"/>
      <c r="AD29" s="67"/>
    </row>
    <row r="30" spans="1:30" ht="144" x14ac:dyDescent="0.3">
      <c r="A30" s="72">
        <v>29</v>
      </c>
      <c r="B30" s="65"/>
      <c r="C30" s="66" t="s">
        <v>565</v>
      </c>
      <c r="D30" s="65" t="str">
        <f>MID(TabSpecificationWork_1[[#This Row],[NUM PROJECT]], SEARCH("-N",TabSpecificationWork_1[[#This Row],[NUM PROJECT]])+2, SEARCH("-",TabSpecificationWork_1[[#This Row],[NUM PROJECT]],SEARCH("-",TabSpecificationWork_1[[#This Row],[NUM PROJECT]])+1) - (SEARCH("-N",TabSpecificationWork_1[[#This Row],[NUM PROJECT]])+2))</f>
        <v>3</v>
      </c>
      <c r="E30" s="65">
        <v>1</v>
      </c>
      <c r="F30" s="77" t="s">
        <v>562</v>
      </c>
      <c r="G30" s="100">
        <v>303</v>
      </c>
      <c r="H30" s="65">
        <v>1</v>
      </c>
      <c r="I30"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3.303.1</v>
      </c>
      <c r="J30" s="69" t="s">
        <v>29</v>
      </c>
      <c r="K30" s="70" t="str">
        <f>LOWER(CONCATENATE(TabSpecificationWork_1[[#This Row],[NUM PROJECT]],"-","ver_",TabSpecificationWork_1[[#This Row],[VER COLLECTION]],"-","set_",TabSpecificationWork_1[[#This Row],[NUM FULL SET]],"-",TabSpecificationWork_1[[#This Row],[isSHIPPED]]))</f>
        <v>8/2026-n3-горизонт-ver_1-set_3.303.1-true</v>
      </c>
      <c r="L30" s="78" t="s">
        <v>685</v>
      </c>
      <c r="M30" s="77" t="s">
        <v>564</v>
      </c>
      <c r="N30" s="72" t="s">
        <v>268</v>
      </c>
      <c r="O30" s="72" t="s">
        <v>268</v>
      </c>
      <c r="P30" s="72" t="s">
        <v>550</v>
      </c>
      <c r="Q30" s="72" t="s">
        <v>550</v>
      </c>
      <c r="R30" s="72" t="s">
        <v>33</v>
      </c>
      <c r="S30" s="65">
        <v>1</v>
      </c>
      <c r="T30" s="65">
        <v>1</v>
      </c>
      <c r="U30" s="65">
        <f>TabSpecificationWork_1[[#This Row],[QUANTITY SET]]*TabSpecificationWork_1[[#This Row],[QUANTITY SHIPPED SET]]</f>
        <v>1</v>
      </c>
      <c r="V30" s="65">
        <v>1</v>
      </c>
      <c r="W30" s="80">
        <v>300000</v>
      </c>
      <c r="X30" s="84">
        <v>0</v>
      </c>
      <c r="Y30" s="73">
        <f>TabSpecificationWork_1[[#This Row],[QUANTITY TOTAL]]*TabSpecificationWork_1[[#This Row],[PRICE UNIT $PURCHASE]]</f>
        <v>300000</v>
      </c>
      <c r="Z30" s="81">
        <f>TabSpecificationWork_1[[#This Row],[VAT ADD PRICE $PURCHASE]]*TabSpecificationWork_1[[#This Row],[QUANTITY TOTAL]]+TabSpecificationWork_1[[#This Row],[COST PRICE $PURCHASE]]</f>
        <v>300000</v>
      </c>
      <c r="AA30" s="82"/>
      <c r="AB30" s="67" t="s">
        <v>655</v>
      </c>
      <c r="AC30" s="67"/>
      <c r="AD30" s="67"/>
    </row>
    <row r="31" spans="1:30" ht="115.2" x14ac:dyDescent="0.3">
      <c r="A31" s="72">
        <v>30</v>
      </c>
      <c r="B31" s="65"/>
      <c r="C31" s="66" t="s">
        <v>565</v>
      </c>
      <c r="D31" s="65" t="str">
        <f>MID(TabSpecificationWork_1[[#This Row],[NUM PROJECT]], SEARCH("-N",TabSpecificationWork_1[[#This Row],[NUM PROJECT]])+2, SEARCH("-",TabSpecificationWork_1[[#This Row],[NUM PROJECT]],SEARCH("-",TabSpecificationWork_1[[#This Row],[NUM PROJECT]])+1) - (SEARCH("-N",TabSpecificationWork_1[[#This Row],[NUM PROJECT]])+2))</f>
        <v>3</v>
      </c>
      <c r="E31" s="65">
        <v>1</v>
      </c>
      <c r="F31" s="67" t="s">
        <v>557</v>
      </c>
      <c r="G31" s="65">
        <v>401</v>
      </c>
      <c r="H31" s="65">
        <v>1</v>
      </c>
      <c r="I31"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3.401.1</v>
      </c>
      <c r="J31" s="69" t="s">
        <v>29</v>
      </c>
      <c r="K31" s="70" t="str">
        <f>LOWER(CONCATENATE(TabSpecificationWork_1[[#This Row],[NUM PROJECT]],"-","ver_",TabSpecificationWork_1[[#This Row],[VER COLLECTION]],"-","set_",TabSpecificationWork_1[[#This Row],[NUM FULL SET]],"-",TabSpecificationWork_1[[#This Row],[isSHIPPED]]))</f>
        <v>8/2026-n3-горизонт-ver_1-set_3.401.1-true</v>
      </c>
      <c r="L31" s="78" t="s">
        <v>697</v>
      </c>
      <c r="M31" s="77" t="s">
        <v>572</v>
      </c>
      <c r="N31" s="72" t="s">
        <v>268</v>
      </c>
      <c r="O31" s="72" t="s">
        <v>268</v>
      </c>
      <c r="P31" s="72" t="s">
        <v>550</v>
      </c>
      <c r="Q31" s="72" t="s">
        <v>550</v>
      </c>
      <c r="R31" s="72" t="s">
        <v>33</v>
      </c>
      <c r="S31" s="65">
        <v>1</v>
      </c>
      <c r="T31" s="65">
        <v>1</v>
      </c>
      <c r="U31" s="65">
        <f>TabSpecificationWork_1[[#This Row],[QUANTITY SET]]*TabSpecificationWork_1[[#This Row],[QUANTITY SHIPPED SET]]</f>
        <v>1</v>
      </c>
      <c r="V31" s="65">
        <v>1</v>
      </c>
      <c r="W31" s="80">
        <v>100000</v>
      </c>
      <c r="X31" s="84">
        <v>0</v>
      </c>
      <c r="Y31" s="73">
        <f>TabSpecificationWork_1[[#This Row],[QUANTITY TOTAL]]*TabSpecificationWork_1[[#This Row],[PRICE UNIT $PURCHASE]]</f>
        <v>100000</v>
      </c>
      <c r="Z31" s="81">
        <f>TabSpecificationWork_1[[#This Row],[VAT ADD PRICE $PURCHASE]]*TabSpecificationWork_1[[#This Row],[QUANTITY TOTAL]]+TabSpecificationWork_1[[#This Row],[COST PRICE $PURCHASE]]</f>
        <v>100000</v>
      </c>
      <c r="AA31" s="75"/>
      <c r="AB31" s="67" t="s">
        <v>653</v>
      </c>
      <c r="AC31" s="67"/>
      <c r="AD31" s="67"/>
    </row>
    <row r="32" spans="1:30" ht="115.2" x14ac:dyDescent="0.3">
      <c r="A32" s="72">
        <v>31</v>
      </c>
      <c r="B32" s="65"/>
      <c r="C32" s="66" t="s">
        <v>565</v>
      </c>
      <c r="D32" s="65" t="str">
        <f>MID(TabSpecificationWork_1[[#This Row],[NUM PROJECT]], SEARCH("-N",TabSpecificationWork_1[[#This Row],[NUM PROJECT]])+2, SEARCH("-",TabSpecificationWork_1[[#This Row],[NUM PROJECT]],SEARCH("-",TabSpecificationWork_1[[#This Row],[NUM PROJECT]])+1) - (SEARCH("-N",TabSpecificationWork_1[[#This Row],[NUM PROJECT]])+2))</f>
        <v>3</v>
      </c>
      <c r="E32" s="65">
        <v>1</v>
      </c>
      <c r="F32" s="77" t="s">
        <v>560</v>
      </c>
      <c r="G32" s="65">
        <v>401</v>
      </c>
      <c r="H32" s="65">
        <v>2</v>
      </c>
      <c r="I32"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3.401.2</v>
      </c>
      <c r="J32" s="69" t="s">
        <v>29</v>
      </c>
      <c r="K32" s="70" t="str">
        <f>LOWER(CONCATENATE(TabSpecificationWork_1[[#This Row],[NUM PROJECT]],"-","ver_",TabSpecificationWork_1[[#This Row],[VER COLLECTION]],"-","set_",TabSpecificationWork_1[[#This Row],[NUM FULL SET]],"-",TabSpecificationWork_1[[#This Row],[isSHIPPED]]))</f>
        <v>8/2026-n3-горизонт-ver_1-set_3.401.2-true</v>
      </c>
      <c r="L32" s="78" t="s">
        <v>696</v>
      </c>
      <c r="M32" s="77" t="s">
        <v>573</v>
      </c>
      <c r="N32" s="72" t="s">
        <v>268</v>
      </c>
      <c r="O32" s="72" t="s">
        <v>268</v>
      </c>
      <c r="P32" s="72" t="s">
        <v>550</v>
      </c>
      <c r="Q32" s="72" t="s">
        <v>550</v>
      </c>
      <c r="R32" s="72" t="s">
        <v>33</v>
      </c>
      <c r="S32" s="65">
        <v>1</v>
      </c>
      <c r="T32" s="65">
        <v>1</v>
      </c>
      <c r="U32" s="65">
        <f>TabSpecificationWork_1[[#This Row],[QUANTITY SET]]*TabSpecificationWork_1[[#This Row],[QUANTITY SHIPPED SET]]</f>
        <v>1</v>
      </c>
      <c r="V32" s="65">
        <v>1</v>
      </c>
      <c r="W32" s="80">
        <v>20000</v>
      </c>
      <c r="X32" s="84">
        <v>0</v>
      </c>
      <c r="Y32" s="73">
        <f>TabSpecificationWork_1[[#This Row],[QUANTITY TOTAL]]*TabSpecificationWork_1[[#This Row],[PRICE UNIT $PURCHASE]]</f>
        <v>20000</v>
      </c>
      <c r="Z32" s="81">
        <f>TabSpecificationWork_1[[#This Row],[VAT ADD PRICE $PURCHASE]]*TabSpecificationWork_1[[#This Row],[QUANTITY TOTAL]]+TabSpecificationWork_1[[#This Row],[COST PRICE $PURCHASE]]</f>
        <v>20000</v>
      </c>
      <c r="AA32" s="75"/>
      <c r="AB32" s="67" t="s">
        <v>653</v>
      </c>
      <c r="AC32" s="67"/>
      <c r="AD32" s="67"/>
    </row>
    <row r="33" spans="1:30" ht="86.4" x14ac:dyDescent="0.3">
      <c r="A33" s="72">
        <v>32</v>
      </c>
      <c r="B33" s="65"/>
      <c r="C33" s="66" t="s">
        <v>565</v>
      </c>
      <c r="D33" s="65" t="str">
        <f>MID(TabSpecificationWork_1[[#This Row],[NUM PROJECT]], SEARCH("-N",TabSpecificationWork_1[[#This Row],[NUM PROJECT]])+2, SEARCH("-",TabSpecificationWork_1[[#This Row],[NUM PROJECT]],SEARCH("-",TabSpecificationWork_1[[#This Row],[NUM PROJECT]])+1) - (SEARCH("-N",TabSpecificationWork_1[[#This Row],[NUM PROJECT]])+2))</f>
        <v>3</v>
      </c>
      <c r="E33" s="65">
        <v>1</v>
      </c>
      <c r="F33" s="77" t="s">
        <v>557</v>
      </c>
      <c r="G33" s="65">
        <v>401</v>
      </c>
      <c r="H33" s="65">
        <v>3</v>
      </c>
      <c r="I33"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3.401.3</v>
      </c>
      <c r="J33" s="69" t="s">
        <v>29</v>
      </c>
      <c r="K33" s="70" t="str">
        <f>LOWER(CONCATENATE(TabSpecificationWork_1[[#This Row],[NUM PROJECT]],"-","ver_",TabSpecificationWork_1[[#This Row],[VER COLLECTION]],"-","set_",TabSpecificationWork_1[[#This Row],[NUM FULL SET]],"-",TabSpecificationWork_1[[#This Row],[isSHIPPED]]))</f>
        <v>8/2026-n3-горизонт-ver_1-set_3.401.3-true</v>
      </c>
      <c r="L33" s="78" t="s">
        <v>695</v>
      </c>
      <c r="M33" s="77" t="s">
        <v>566</v>
      </c>
      <c r="N33" s="72" t="s">
        <v>268</v>
      </c>
      <c r="O33" s="72" t="s">
        <v>268</v>
      </c>
      <c r="P33" s="72" t="s">
        <v>550</v>
      </c>
      <c r="Q33" s="72" t="s">
        <v>550</v>
      </c>
      <c r="R33" s="72" t="s">
        <v>33</v>
      </c>
      <c r="S33" s="65">
        <v>1</v>
      </c>
      <c r="T33" s="65">
        <v>1</v>
      </c>
      <c r="U33" s="65">
        <f>TabSpecificationWork_1[[#This Row],[QUANTITY SET]]*TabSpecificationWork_1[[#This Row],[QUANTITY SHIPPED SET]]</f>
        <v>1</v>
      </c>
      <c r="V33" s="65">
        <v>1</v>
      </c>
      <c r="W33" s="80">
        <v>20000</v>
      </c>
      <c r="X33" s="84">
        <v>0</v>
      </c>
      <c r="Y33" s="73">
        <f>TabSpecificationWork_1[[#This Row],[QUANTITY TOTAL]]*TabSpecificationWork_1[[#This Row],[PRICE UNIT $PURCHASE]]</f>
        <v>20000</v>
      </c>
      <c r="Z33" s="81">
        <f>TabSpecificationWork_1[[#This Row],[VAT ADD PRICE $PURCHASE]]*TabSpecificationWork_1[[#This Row],[QUANTITY TOTAL]]+TabSpecificationWork_1[[#This Row],[COST PRICE $PURCHASE]]</f>
        <v>20000</v>
      </c>
      <c r="AA33" s="75"/>
      <c r="AB33" s="67" t="s">
        <v>653</v>
      </c>
      <c r="AC33" s="67"/>
      <c r="AD33" s="67"/>
    </row>
    <row r="34" spans="1:30" ht="100.8" x14ac:dyDescent="0.3">
      <c r="A34" s="72">
        <v>33</v>
      </c>
      <c r="B34" s="65"/>
      <c r="C34" s="66" t="s">
        <v>565</v>
      </c>
      <c r="D34" s="65" t="str">
        <f>MID(TabSpecificationWork_1[[#This Row],[NUM PROJECT]], SEARCH("-N",TabSpecificationWork_1[[#This Row],[NUM PROJECT]])+2, SEARCH("-",TabSpecificationWork_1[[#This Row],[NUM PROJECT]],SEARCH("-",TabSpecificationWork_1[[#This Row],[NUM PROJECT]])+1) - (SEARCH("-N",TabSpecificationWork_1[[#This Row],[NUM PROJECT]])+2))</f>
        <v>3</v>
      </c>
      <c r="E34" s="65">
        <v>1</v>
      </c>
      <c r="F34" s="77" t="s">
        <v>561</v>
      </c>
      <c r="G34" s="100">
        <v>402</v>
      </c>
      <c r="H34" s="65">
        <v>1</v>
      </c>
      <c r="I34"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3.402.1</v>
      </c>
      <c r="J34" s="69" t="s">
        <v>29</v>
      </c>
      <c r="K34" s="70" t="str">
        <f>LOWER(CONCATENATE(TabSpecificationWork_1[[#This Row],[NUM PROJECT]],"-","ver_",TabSpecificationWork_1[[#This Row],[VER COLLECTION]],"-","set_",TabSpecificationWork_1[[#This Row],[NUM FULL SET]],"-",TabSpecificationWork_1[[#This Row],[isSHIPPED]]))</f>
        <v>8/2026-n3-горизонт-ver_1-set_3.402.1-true</v>
      </c>
      <c r="L34" s="78" t="s">
        <v>694</v>
      </c>
      <c r="M34" s="77" t="s">
        <v>563</v>
      </c>
      <c r="N34" s="72" t="s">
        <v>268</v>
      </c>
      <c r="O34" s="72" t="s">
        <v>268</v>
      </c>
      <c r="P34" s="72" t="s">
        <v>550</v>
      </c>
      <c r="Q34" s="72" t="s">
        <v>550</v>
      </c>
      <c r="R34" s="72" t="s">
        <v>33</v>
      </c>
      <c r="S34" s="65">
        <v>1</v>
      </c>
      <c r="T34" s="65">
        <v>1</v>
      </c>
      <c r="U34" s="65">
        <f>TabSpecificationWork_1[[#This Row],[QUANTITY SET]]*TabSpecificationWork_1[[#This Row],[QUANTITY SHIPPED SET]]</f>
        <v>1</v>
      </c>
      <c r="V34" s="65">
        <v>1</v>
      </c>
      <c r="W34" s="80">
        <v>800000</v>
      </c>
      <c r="X34" s="84">
        <v>0</v>
      </c>
      <c r="Y34" s="73">
        <f>TabSpecificationWork_1[[#This Row],[QUANTITY TOTAL]]*TabSpecificationWork_1[[#This Row],[PRICE UNIT $PURCHASE]]</f>
        <v>800000</v>
      </c>
      <c r="Z34" s="81">
        <f>TabSpecificationWork_1[[#This Row],[VAT ADD PRICE $PURCHASE]]*TabSpecificationWork_1[[#This Row],[QUANTITY TOTAL]]+TabSpecificationWork_1[[#This Row],[COST PRICE $PURCHASE]]</f>
        <v>800000</v>
      </c>
      <c r="AA34" s="75"/>
      <c r="AB34" s="67" t="s">
        <v>654</v>
      </c>
      <c r="AC34" s="67"/>
      <c r="AD34" s="67"/>
    </row>
    <row r="35" spans="1:30" ht="144" x14ac:dyDescent="0.3">
      <c r="A35" s="72">
        <v>34</v>
      </c>
      <c r="B35" s="65"/>
      <c r="C35" s="66" t="s">
        <v>565</v>
      </c>
      <c r="D35" s="65" t="str">
        <f>MID(TabSpecificationWork_1[[#This Row],[NUM PROJECT]], SEARCH("-N",TabSpecificationWork_1[[#This Row],[NUM PROJECT]])+2, SEARCH("-",TabSpecificationWork_1[[#This Row],[NUM PROJECT]],SEARCH("-",TabSpecificationWork_1[[#This Row],[NUM PROJECT]])+1) - (SEARCH("-N",TabSpecificationWork_1[[#This Row],[NUM PROJECT]])+2))</f>
        <v>3</v>
      </c>
      <c r="E35" s="65">
        <v>1</v>
      </c>
      <c r="F35" s="77" t="s">
        <v>562</v>
      </c>
      <c r="G35" s="100">
        <v>403</v>
      </c>
      <c r="H35" s="65">
        <v>1</v>
      </c>
      <c r="I35"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3.403.1</v>
      </c>
      <c r="J35" s="69" t="s">
        <v>29</v>
      </c>
      <c r="K35" s="70" t="str">
        <f>LOWER(CONCATENATE(TabSpecificationWork_1[[#This Row],[NUM PROJECT]],"-","ver_",TabSpecificationWork_1[[#This Row],[VER COLLECTION]],"-","set_",TabSpecificationWork_1[[#This Row],[NUM FULL SET]],"-",TabSpecificationWork_1[[#This Row],[isSHIPPED]]))</f>
        <v>8/2026-n3-горизонт-ver_1-set_3.403.1-true</v>
      </c>
      <c r="L35" s="78" t="s">
        <v>693</v>
      </c>
      <c r="M35" s="77" t="s">
        <v>564</v>
      </c>
      <c r="N35" s="72" t="s">
        <v>268</v>
      </c>
      <c r="O35" s="72" t="s">
        <v>268</v>
      </c>
      <c r="P35" s="72" t="s">
        <v>550</v>
      </c>
      <c r="Q35" s="72" t="s">
        <v>550</v>
      </c>
      <c r="R35" s="72" t="s">
        <v>33</v>
      </c>
      <c r="S35" s="65">
        <v>1</v>
      </c>
      <c r="T35" s="65">
        <v>1</v>
      </c>
      <c r="U35" s="65">
        <f>TabSpecificationWork_1[[#This Row],[QUANTITY SET]]*TabSpecificationWork_1[[#This Row],[QUANTITY SHIPPED SET]]</f>
        <v>1</v>
      </c>
      <c r="V35" s="65">
        <v>1</v>
      </c>
      <c r="W35" s="80">
        <v>300000</v>
      </c>
      <c r="X35" s="84">
        <v>0</v>
      </c>
      <c r="Y35" s="73">
        <f>TabSpecificationWork_1[[#This Row],[QUANTITY TOTAL]]*TabSpecificationWork_1[[#This Row],[PRICE UNIT $PURCHASE]]</f>
        <v>300000</v>
      </c>
      <c r="Z35" s="81">
        <f>TabSpecificationWork_1[[#This Row],[VAT ADD PRICE $PURCHASE]]*TabSpecificationWork_1[[#This Row],[QUANTITY TOTAL]]+TabSpecificationWork_1[[#This Row],[COST PRICE $PURCHASE]]</f>
        <v>300000</v>
      </c>
      <c r="AA35" s="75"/>
      <c r="AB35" s="67" t="s">
        <v>655</v>
      </c>
      <c r="AC35" s="67"/>
      <c r="AD35" s="67"/>
    </row>
    <row r="36" spans="1:30" ht="115.2" x14ac:dyDescent="0.3">
      <c r="A36" s="72">
        <v>35</v>
      </c>
      <c r="B36" s="65"/>
      <c r="C36" s="66" t="s">
        <v>565</v>
      </c>
      <c r="D36" s="65" t="str">
        <f>MID(TabSpecificationWork_1[[#This Row],[NUM PROJECT]], SEARCH("-N",TabSpecificationWork_1[[#This Row],[NUM PROJECT]])+2, SEARCH("-",TabSpecificationWork_1[[#This Row],[NUM PROJECT]],SEARCH("-",TabSpecificationWork_1[[#This Row],[NUM PROJECT]])+1) - (SEARCH("-N",TabSpecificationWork_1[[#This Row],[NUM PROJECT]])+2))</f>
        <v>3</v>
      </c>
      <c r="E36" s="65">
        <v>1</v>
      </c>
      <c r="F36" s="67" t="s">
        <v>557</v>
      </c>
      <c r="G36" s="65">
        <v>501</v>
      </c>
      <c r="H36" s="65">
        <v>1</v>
      </c>
      <c r="I36"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3.501.1</v>
      </c>
      <c r="J36" s="69" t="s">
        <v>35</v>
      </c>
      <c r="K36" s="70" t="str">
        <f>LOWER(CONCATENATE(TabSpecificationWork_1[[#This Row],[NUM PROJECT]],"-","ver_",TabSpecificationWork_1[[#This Row],[VER COLLECTION]],"-","set_",TabSpecificationWork_1[[#This Row],[NUM FULL SET]],"-",TabSpecificationWork_1[[#This Row],[isSHIPPED]]))</f>
        <v>8/2026-n3-горизонт-ver_1-set_3.501.1-false</v>
      </c>
      <c r="L36" s="78" t="s">
        <v>702</v>
      </c>
      <c r="M36" s="77" t="s">
        <v>572</v>
      </c>
      <c r="N36" s="72" t="s">
        <v>268</v>
      </c>
      <c r="O36" s="72" t="s">
        <v>268</v>
      </c>
      <c r="P36" s="72" t="s">
        <v>550</v>
      </c>
      <c r="Q36" s="72" t="s">
        <v>550</v>
      </c>
      <c r="R36" s="72" t="s">
        <v>33</v>
      </c>
      <c r="S36" s="65">
        <v>1</v>
      </c>
      <c r="T36" s="65">
        <v>1</v>
      </c>
      <c r="U36" s="65">
        <f>TabSpecificationWork_1[[#This Row],[QUANTITY SET]]*TabSpecificationWork_1[[#This Row],[QUANTITY SHIPPED SET]]</f>
        <v>1</v>
      </c>
      <c r="V36" s="65">
        <v>1</v>
      </c>
      <c r="W36" s="80">
        <v>100000</v>
      </c>
      <c r="X36" s="84">
        <v>0</v>
      </c>
      <c r="Y36" s="73">
        <f>TabSpecificationWork_1[[#This Row],[QUANTITY TOTAL]]*TabSpecificationWork_1[[#This Row],[PRICE UNIT $PURCHASE]]</f>
        <v>100000</v>
      </c>
      <c r="Z36" s="81">
        <f>TabSpecificationWork_1[[#This Row],[VAT ADD PRICE $PURCHASE]]*TabSpecificationWork_1[[#This Row],[QUANTITY TOTAL]]+TabSpecificationWork_1[[#This Row],[COST PRICE $PURCHASE]]</f>
        <v>100000</v>
      </c>
      <c r="AA36" s="75"/>
      <c r="AB36" s="67" t="s">
        <v>653</v>
      </c>
      <c r="AC36" s="67"/>
      <c r="AD36" s="67"/>
    </row>
    <row r="37" spans="1:30" ht="115.2" x14ac:dyDescent="0.3">
      <c r="A37" s="72">
        <v>36</v>
      </c>
      <c r="B37" s="65"/>
      <c r="C37" s="66" t="s">
        <v>565</v>
      </c>
      <c r="D37" s="65" t="str">
        <f>MID(TabSpecificationWork_1[[#This Row],[NUM PROJECT]], SEARCH("-N",TabSpecificationWork_1[[#This Row],[NUM PROJECT]])+2, SEARCH("-",TabSpecificationWork_1[[#This Row],[NUM PROJECT]],SEARCH("-",TabSpecificationWork_1[[#This Row],[NUM PROJECT]])+1) - (SEARCH("-N",TabSpecificationWork_1[[#This Row],[NUM PROJECT]])+2))</f>
        <v>3</v>
      </c>
      <c r="E37" s="65">
        <v>1</v>
      </c>
      <c r="F37" s="77" t="s">
        <v>560</v>
      </c>
      <c r="G37" s="65">
        <v>501</v>
      </c>
      <c r="H37" s="65">
        <v>2</v>
      </c>
      <c r="I37"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3.501.2</v>
      </c>
      <c r="J37" s="69" t="s">
        <v>35</v>
      </c>
      <c r="K37" s="70" t="str">
        <f>LOWER(CONCATENATE(TabSpecificationWork_1[[#This Row],[NUM PROJECT]],"-","ver_",TabSpecificationWork_1[[#This Row],[VER COLLECTION]],"-","set_",TabSpecificationWork_1[[#This Row],[NUM FULL SET]],"-",TabSpecificationWork_1[[#This Row],[isSHIPPED]]))</f>
        <v>8/2026-n3-горизонт-ver_1-set_3.501.2-false</v>
      </c>
      <c r="L37" s="78" t="s">
        <v>701</v>
      </c>
      <c r="M37" s="77" t="s">
        <v>573</v>
      </c>
      <c r="N37" s="72" t="s">
        <v>268</v>
      </c>
      <c r="O37" s="72" t="s">
        <v>268</v>
      </c>
      <c r="P37" s="72" t="s">
        <v>550</v>
      </c>
      <c r="Q37" s="72" t="s">
        <v>550</v>
      </c>
      <c r="R37" s="72" t="s">
        <v>33</v>
      </c>
      <c r="S37" s="65">
        <v>1</v>
      </c>
      <c r="T37" s="65">
        <v>1</v>
      </c>
      <c r="U37" s="65">
        <f>TabSpecificationWork_1[[#This Row],[QUANTITY SET]]*TabSpecificationWork_1[[#This Row],[QUANTITY SHIPPED SET]]</f>
        <v>1</v>
      </c>
      <c r="V37" s="65">
        <v>1</v>
      </c>
      <c r="W37" s="80">
        <v>20000</v>
      </c>
      <c r="X37" s="84">
        <v>0</v>
      </c>
      <c r="Y37" s="73">
        <f>TabSpecificationWork_1[[#This Row],[QUANTITY TOTAL]]*TabSpecificationWork_1[[#This Row],[PRICE UNIT $PURCHASE]]</f>
        <v>20000</v>
      </c>
      <c r="Z37" s="81">
        <f>TabSpecificationWork_1[[#This Row],[VAT ADD PRICE $PURCHASE]]*TabSpecificationWork_1[[#This Row],[QUANTITY TOTAL]]+TabSpecificationWork_1[[#This Row],[COST PRICE $PURCHASE]]</f>
        <v>20000</v>
      </c>
      <c r="AA37" s="75"/>
      <c r="AB37" s="67" t="s">
        <v>653</v>
      </c>
      <c r="AC37" s="67"/>
      <c r="AD37" s="67"/>
    </row>
    <row r="38" spans="1:30" ht="86.4" x14ac:dyDescent="0.3">
      <c r="A38" s="72">
        <v>37</v>
      </c>
      <c r="B38" s="65"/>
      <c r="C38" s="66" t="s">
        <v>565</v>
      </c>
      <c r="D38" s="65" t="str">
        <f>MID(TabSpecificationWork_1[[#This Row],[NUM PROJECT]], SEARCH("-N",TabSpecificationWork_1[[#This Row],[NUM PROJECT]])+2, SEARCH("-",TabSpecificationWork_1[[#This Row],[NUM PROJECT]],SEARCH("-",TabSpecificationWork_1[[#This Row],[NUM PROJECT]])+1) - (SEARCH("-N",TabSpecificationWork_1[[#This Row],[NUM PROJECT]])+2))</f>
        <v>3</v>
      </c>
      <c r="E38" s="65">
        <v>1</v>
      </c>
      <c r="F38" s="77" t="s">
        <v>557</v>
      </c>
      <c r="G38" s="65">
        <v>501</v>
      </c>
      <c r="H38" s="65">
        <v>3</v>
      </c>
      <c r="I38"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3.501.3</v>
      </c>
      <c r="J38" s="69" t="s">
        <v>35</v>
      </c>
      <c r="K38" s="70" t="str">
        <f>LOWER(CONCATENATE(TabSpecificationWork_1[[#This Row],[NUM PROJECT]],"-","ver_",TabSpecificationWork_1[[#This Row],[VER COLLECTION]],"-","set_",TabSpecificationWork_1[[#This Row],[NUM FULL SET]],"-",TabSpecificationWork_1[[#This Row],[isSHIPPED]]))</f>
        <v>8/2026-n3-горизонт-ver_1-set_3.501.3-false</v>
      </c>
      <c r="L38" s="78" t="s">
        <v>700</v>
      </c>
      <c r="M38" s="77" t="s">
        <v>566</v>
      </c>
      <c r="N38" s="72" t="s">
        <v>268</v>
      </c>
      <c r="O38" s="72" t="s">
        <v>268</v>
      </c>
      <c r="P38" s="72" t="s">
        <v>550</v>
      </c>
      <c r="Q38" s="72" t="s">
        <v>550</v>
      </c>
      <c r="R38" s="72" t="s">
        <v>33</v>
      </c>
      <c r="S38" s="65">
        <v>1</v>
      </c>
      <c r="T38" s="65">
        <v>1</v>
      </c>
      <c r="U38" s="65">
        <f>TabSpecificationWork_1[[#This Row],[QUANTITY SET]]*TabSpecificationWork_1[[#This Row],[QUANTITY SHIPPED SET]]</f>
        <v>1</v>
      </c>
      <c r="V38" s="65">
        <v>1</v>
      </c>
      <c r="W38" s="80">
        <v>20000</v>
      </c>
      <c r="X38" s="84">
        <v>0</v>
      </c>
      <c r="Y38" s="73">
        <f>TabSpecificationWork_1[[#This Row],[QUANTITY TOTAL]]*TabSpecificationWork_1[[#This Row],[PRICE UNIT $PURCHASE]]</f>
        <v>20000</v>
      </c>
      <c r="Z38" s="81">
        <f>TabSpecificationWork_1[[#This Row],[VAT ADD PRICE $PURCHASE]]*TabSpecificationWork_1[[#This Row],[QUANTITY TOTAL]]+TabSpecificationWork_1[[#This Row],[COST PRICE $PURCHASE]]</f>
        <v>20000</v>
      </c>
      <c r="AA38" s="75"/>
      <c r="AB38" s="67" t="s">
        <v>653</v>
      </c>
      <c r="AC38" s="67"/>
      <c r="AD38" s="67"/>
    </row>
    <row r="39" spans="1:30" ht="100.8" x14ac:dyDescent="0.3">
      <c r="A39" s="72">
        <v>38</v>
      </c>
      <c r="B39" s="65"/>
      <c r="C39" s="66" t="s">
        <v>565</v>
      </c>
      <c r="D39" s="65" t="str">
        <f>MID(TabSpecificationWork_1[[#This Row],[NUM PROJECT]], SEARCH("-N",TabSpecificationWork_1[[#This Row],[NUM PROJECT]])+2, SEARCH("-",TabSpecificationWork_1[[#This Row],[NUM PROJECT]],SEARCH("-",TabSpecificationWork_1[[#This Row],[NUM PROJECT]])+1) - (SEARCH("-N",TabSpecificationWork_1[[#This Row],[NUM PROJECT]])+2))</f>
        <v>3</v>
      </c>
      <c r="E39" s="65">
        <v>1</v>
      </c>
      <c r="F39" s="77" t="s">
        <v>561</v>
      </c>
      <c r="G39" s="100">
        <v>502</v>
      </c>
      <c r="H39" s="65">
        <v>1</v>
      </c>
      <c r="I39"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3.502.1</v>
      </c>
      <c r="J39" s="69" t="s">
        <v>35</v>
      </c>
      <c r="K39" s="70" t="str">
        <f>LOWER(CONCATENATE(TabSpecificationWork_1[[#This Row],[NUM PROJECT]],"-","ver_",TabSpecificationWork_1[[#This Row],[VER COLLECTION]],"-","set_",TabSpecificationWork_1[[#This Row],[NUM FULL SET]],"-",TabSpecificationWork_1[[#This Row],[isSHIPPED]]))</f>
        <v>8/2026-n3-горизонт-ver_1-set_3.502.1-false</v>
      </c>
      <c r="L39" s="78" t="s">
        <v>699</v>
      </c>
      <c r="M39" s="77" t="s">
        <v>563</v>
      </c>
      <c r="N39" s="72" t="s">
        <v>268</v>
      </c>
      <c r="O39" s="72" t="s">
        <v>268</v>
      </c>
      <c r="P39" s="72" t="s">
        <v>550</v>
      </c>
      <c r="Q39" s="72" t="s">
        <v>550</v>
      </c>
      <c r="R39" s="72" t="s">
        <v>33</v>
      </c>
      <c r="S39" s="65">
        <v>1</v>
      </c>
      <c r="T39" s="65">
        <v>1</v>
      </c>
      <c r="U39" s="65">
        <f>TabSpecificationWork_1[[#This Row],[QUANTITY SET]]*TabSpecificationWork_1[[#This Row],[QUANTITY SHIPPED SET]]</f>
        <v>1</v>
      </c>
      <c r="V39" s="65">
        <v>1</v>
      </c>
      <c r="W39" s="80">
        <v>800000</v>
      </c>
      <c r="X39" s="84">
        <v>0</v>
      </c>
      <c r="Y39" s="73">
        <f>TabSpecificationWork_1[[#This Row],[QUANTITY TOTAL]]*TabSpecificationWork_1[[#This Row],[PRICE UNIT $PURCHASE]]</f>
        <v>800000</v>
      </c>
      <c r="Z39" s="81">
        <f>TabSpecificationWork_1[[#This Row],[VAT ADD PRICE $PURCHASE]]*TabSpecificationWork_1[[#This Row],[QUANTITY TOTAL]]+TabSpecificationWork_1[[#This Row],[COST PRICE $PURCHASE]]</f>
        <v>800000</v>
      </c>
      <c r="AA39" s="75"/>
      <c r="AB39" s="67" t="s">
        <v>654</v>
      </c>
      <c r="AC39" s="67"/>
      <c r="AD39" s="67"/>
    </row>
    <row r="40" spans="1:30" ht="144" x14ac:dyDescent="0.3">
      <c r="A40" s="72">
        <v>39</v>
      </c>
      <c r="B40" s="65"/>
      <c r="C40" s="66" t="s">
        <v>565</v>
      </c>
      <c r="D40" s="65" t="str">
        <f>MID(TabSpecificationWork_1[[#This Row],[NUM PROJECT]], SEARCH("-N",TabSpecificationWork_1[[#This Row],[NUM PROJECT]])+2, SEARCH("-",TabSpecificationWork_1[[#This Row],[NUM PROJECT]],SEARCH("-",TabSpecificationWork_1[[#This Row],[NUM PROJECT]])+1) - (SEARCH("-N",TabSpecificationWork_1[[#This Row],[NUM PROJECT]])+2))</f>
        <v>3</v>
      </c>
      <c r="E40" s="65">
        <v>1</v>
      </c>
      <c r="F40" s="77" t="s">
        <v>562</v>
      </c>
      <c r="G40" s="100">
        <v>503</v>
      </c>
      <c r="H40" s="65">
        <v>1</v>
      </c>
      <c r="I40"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3.503.1</v>
      </c>
      <c r="J40" s="69" t="s">
        <v>35</v>
      </c>
      <c r="K40" s="70" t="str">
        <f>LOWER(CONCATENATE(TabSpecificationWork_1[[#This Row],[NUM PROJECT]],"-","ver_",TabSpecificationWork_1[[#This Row],[VER COLLECTION]],"-","set_",TabSpecificationWork_1[[#This Row],[NUM FULL SET]],"-",TabSpecificationWork_1[[#This Row],[isSHIPPED]]))</f>
        <v>8/2026-n3-горизонт-ver_1-set_3.503.1-false</v>
      </c>
      <c r="L40" s="78" t="s">
        <v>698</v>
      </c>
      <c r="M40" s="77" t="s">
        <v>564</v>
      </c>
      <c r="N40" s="72" t="s">
        <v>268</v>
      </c>
      <c r="O40" s="72" t="s">
        <v>268</v>
      </c>
      <c r="P40" s="72" t="s">
        <v>550</v>
      </c>
      <c r="Q40" s="72" t="s">
        <v>550</v>
      </c>
      <c r="R40" s="72" t="s">
        <v>33</v>
      </c>
      <c r="S40" s="65">
        <v>1</v>
      </c>
      <c r="T40" s="65">
        <v>1</v>
      </c>
      <c r="U40" s="65">
        <f>TabSpecificationWork_1[[#This Row],[QUANTITY SET]]*TabSpecificationWork_1[[#This Row],[QUANTITY SHIPPED SET]]</f>
        <v>1</v>
      </c>
      <c r="V40" s="65">
        <v>1</v>
      </c>
      <c r="W40" s="80">
        <v>300000</v>
      </c>
      <c r="X40" s="84">
        <v>0</v>
      </c>
      <c r="Y40" s="73">
        <f>TabSpecificationWork_1[[#This Row],[QUANTITY TOTAL]]*TabSpecificationWork_1[[#This Row],[PRICE UNIT $PURCHASE]]</f>
        <v>300000</v>
      </c>
      <c r="Z40" s="81">
        <f>TabSpecificationWork_1[[#This Row],[VAT ADD PRICE $PURCHASE]]*TabSpecificationWork_1[[#This Row],[QUANTITY TOTAL]]+TabSpecificationWork_1[[#This Row],[COST PRICE $PURCHASE]]</f>
        <v>300000</v>
      </c>
      <c r="AA40" s="75"/>
      <c r="AB40" s="67" t="s">
        <v>655</v>
      </c>
      <c r="AC40" s="67"/>
      <c r="AD40" s="67"/>
    </row>
    <row r="41" spans="1:30" ht="115.2" x14ac:dyDescent="0.3">
      <c r="A41" s="72">
        <v>40</v>
      </c>
      <c r="B41" s="65"/>
      <c r="C41" s="66" t="s">
        <v>565</v>
      </c>
      <c r="D41" s="65" t="str">
        <f>MID(TabSpecificationWork_1[[#This Row],[NUM PROJECT]], SEARCH("-N",TabSpecificationWork_1[[#This Row],[NUM PROJECT]])+2, SEARCH("-",TabSpecificationWork_1[[#This Row],[NUM PROJECT]],SEARCH("-",TabSpecificationWork_1[[#This Row],[NUM PROJECT]])+1) - (SEARCH("-N",TabSpecificationWork_1[[#This Row],[NUM PROJECT]])+2))</f>
        <v>3</v>
      </c>
      <c r="E41" s="65">
        <v>1</v>
      </c>
      <c r="F41" s="67" t="s">
        <v>557</v>
      </c>
      <c r="G41" s="65">
        <v>601</v>
      </c>
      <c r="H41" s="65">
        <v>1</v>
      </c>
      <c r="I41"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3.601.1</v>
      </c>
      <c r="J41" s="69" t="s">
        <v>29</v>
      </c>
      <c r="K41" s="70" t="str">
        <f>LOWER(CONCATENATE(TabSpecificationWork_1[[#This Row],[NUM PROJECT]],"-","ver_",TabSpecificationWork_1[[#This Row],[VER COLLECTION]],"-","set_",TabSpecificationWork_1[[#This Row],[NUM FULL SET]],"-",TabSpecificationWork_1[[#This Row],[isSHIPPED]]))</f>
        <v>8/2026-n3-горизонт-ver_1-set_3.601.1-true</v>
      </c>
      <c r="L41" s="78" t="s">
        <v>705</v>
      </c>
      <c r="M41" s="77" t="s">
        <v>572</v>
      </c>
      <c r="N41" s="72" t="s">
        <v>268</v>
      </c>
      <c r="O41" s="72" t="s">
        <v>268</v>
      </c>
      <c r="P41" s="72" t="s">
        <v>550</v>
      </c>
      <c r="Q41" s="72" t="s">
        <v>550</v>
      </c>
      <c r="R41" s="72" t="s">
        <v>33</v>
      </c>
      <c r="S41" s="65">
        <v>1</v>
      </c>
      <c r="T41" s="65">
        <v>1</v>
      </c>
      <c r="U41" s="65">
        <f>TabSpecificationWork_1[[#This Row],[QUANTITY SET]]*TabSpecificationWork_1[[#This Row],[QUANTITY SHIPPED SET]]</f>
        <v>1</v>
      </c>
      <c r="V41" s="65">
        <v>1</v>
      </c>
      <c r="W41" s="80">
        <v>100000</v>
      </c>
      <c r="X41" s="84">
        <v>0</v>
      </c>
      <c r="Y41" s="73">
        <f>TabSpecificationWork_1[[#This Row],[QUANTITY TOTAL]]*TabSpecificationWork_1[[#This Row],[PRICE UNIT $PURCHASE]]</f>
        <v>100000</v>
      </c>
      <c r="Z41" s="81">
        <f>TabSpecificationWork_1[[#This Row],[VAT ADD PRICE $PURCHASE]]*TabSpecificationWork_1[[#This Row],[QUANTITY TOTAL]]+TabSpecificationWork_1[[#This Row],[COST PRICE $PURCHASE]]</f>
        <v>100000</v>
      </c>
      <c r="AA41" s="75"/>
      <c r="AB41" s="67" t="s">
        <v>653</v>
      </c>
      <c r="AC41" s="67"/>
      <c r="AD41" s="67"/>
    </row>
    <row r="42" spans="1:30" ht="115.2" x14ac:dyDescent="0.3">
      <c r="A42" s="72">
        <v>41</v>
      </c>
      <c r="B42" s="65"/>
      <c r="C42" s="66" t="s">
        <v>565</v>
      </c>
      <c r="D42" s="65" t="str">
        <f>MID(TabSpecificationWork_1[[#This Row],[NUM PROJECT]], SEARCH("-N",TabSpecificationWork_1[[#This Row],[NUM PROJECT]])+2, SEARCH("-",TabSpecificationWork_1[[#This Row],[NUM PROJECT]],SEARCH("-",TabSpecificationWork_1[[#This Row],[NUM PROJECT]])+1) - (SEARCH("-N",TabSpecificationWork_1[[#This Row],[NUM PROJECT]])+2))</f>
        <v>3</v>
      </c>
      <c r="E42" s="65">
        <v>1</v>
      </c>
      <c r="F42" s="77" t="s">
        <v>560</v>
      </c>
      <c r="G42" s="65">
        <v>601</v>
      </c>
      <c r="H42" s="65">
        <v>2</v>
      </c>
      <c r="I42"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3.601.2</v>
      </c>
      <c r="J42" s="69" t="s">
        <v>29</v>
      </c>
      <c r="K42" s="70" t="str">
        <f>LOWER(CONCATENATE(TabSpecificationWork_1[[#This Row],[NUM PROJECT]],"-","ver_",TabSpecificationWork_1[[#This Row],[VER COLLECTION]],"-","set_",TabSpecificationWork_1[[#This Row],[NUM FULL SET]],"-",TabSpecificationWork_1[[#This Row],[isSHIPPED]]))</f>
        <v>8/2026-n3-горизонт-ver_1-set_3.601.2-true</v>
      </c>
      <c r="L42" s="78" t="s">
        <v>706</v>
      </c>
      <c r="M42" s="77" t="s">
        <v>573</v>
      </c>
      <c r="N42" s="72" t="s">
        <v>268</v>
      </c>
      <c r="O42" s="72" t="s">
        <v>268</v>
      </c>
      <c r="P42" s="72" t="s">
        <v>550</v>
      </c>
      <c r="Q42" s="72" t="s">
        <v>550</v>
      </c>
      <c r="R42" s="72" t="s">
        <v>33</v>
      </c>
      <c r="S42" s="65">
        <v>1</v>
      </c>
      <c r="T42" s="65">
        <v>1</v>
      </c>
      <c r="U42" s="65">
        <f>TabSpecificationWork_1[[#This Row],[QUANTITY SET]]*TabSpecificationWork_1[[#This Row],[QUANTITY SHIPPED SET]]</f>
        <v>1</v>
      </c>
      <c r="V42" s="65">
        <v>1</v>
      </c>
      <c r="W42" s="80">
        <v>20000</v>
      </c>
      <c r="X42" s="84">
        <v>0</v>
      </c>
      <c r="Y42" s="73">
        <f>TabSpecificationWork_1[[#This Row],[QUANTITY TOTAL]]*TabSpecificationWork_1[[#This Row],[PRICE UNIT $PURCHASE]]</f>
        <v>20000</v>
      </c>
      <c r="Z42" s="81">
        <f>TabSpecificationWork_1[[#This Row],[VAT ADD PRICE $PURCHASE]]*TabSpecificationWork_1[[#This Row],[QUANTITY TOTAL]]+TabSpecificationWork_1[[#This Row],[COST PRICE $PURCHASE]]</f>
        <v>20000</v>
      </c>
      <c r="AA42" s="75"/>
      <c r="AB42" s="67" t="s">
        <v>653</v>
      </c>
      <c r="AC42" s="67"/>
      <c r="AD42" s="67"/>
    </row>
    <row r="43" spans="1:30" ht="86.4" x14ac:dyDescent="0.3">
      <c r="A43" s="72">
        <v>42</v>
      </c>
      <c r="B43" s="65"/>
      <c r="C43" s="66" t="s">
        <v>565</v>
      </c>
      <c r="D43" s="65" t="str">
        <f>MID(TabSpecificationWork_1[[#This Row],[NUM PROJECT]], SEARCH("-N",TabSpecificationWork_1[[#This Row],[NUM PROJECT]])+2, SEARCH("-",TabSpecificationWork_1[[#This Row],[NUM PROJECT]],SEARCH("-",TabSpecificationWork_1[[#This Row],[NUM PROJECT]])+1) - (SEARCH("-N",TabSpecificationWork_1[[#This Row],[NUM PROJECT]])+2))</f>
        <v>3</v>
      </c>
      <c r="E43" s="65">
        <v>1</v>
      </c>
      <c r="F43" s="77" t="s">
        <v>557</v>
      </c>
      <c r="G43" s="65">
        <v>601</v>
      </c>
      <c r="H43" s="65">
        <v>3</v>
      </c>
      <c r="I43"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3.601.3</v>
      </c>
      <c r="J43" s="69" t="s">
        <v>29</v>
      </c>
      <c r="K43" s="70" t="str">
        <f>LOWER(CONCATENATE(TabSpecificationWork_1[[#This Row],[NUM PROJECT]],"-","ver_",TabSpecificationWork_1[[#This Row],[VER COLLECTION]],"-","set_",TabSpecificationWork_1[[#This Row],[NUM FULL SET]],"-",TabSpecificationWork_1[[#This Row],[isSHIPPED]]))</f>
        <v>8/2026-n3-горизонт-ver_1-set_3.601.3-true</v>
      </c>
      <c r="L43" s="78" t="s">
        <v>707</v>
      </c>
      <c r="M43" s="77" t="s">
        <v>566</v>
      </c>
      <c r="N43" s="72" t="s">
        <v>268</v>
      </c>
      <c r="O43" s="72" t="s">
        <v>268</v>
      </c>
      <c r="P43" s="72" t="s">
        <v>550</v>
      </c>
      <c r="Q43" s="72" t="s">
        <v>550</v>
      </c>
      <c r="R43" s="72" t="s">
        <v>33</v>
      </c>
      <c r="S43" s="65">
        <v>1</v>
      </c>
      <c r="T43" s="65">
        <v>1</v>
      </c>
      <c r="U43" s="65">
        <f>TabSpecificationWork_1[[#This Row],[QUANTITY SET]]*TabSpecificationWork_1[[#This Row],[QUANTITY SHIPPED SET]]</f>
        <v>1</v>
      </c>
      <c r="V43" s="65">
        <v>1</v>
      </c>
      <c r="W43" s="80">
        <v>20000</v>
      </c>
      <c r="X43" s="84">
        <v>0</v>
      </c>
      <c r="Y43" s="73">
        <f>TabSpecificationWork_1[[#This Row],[QUANTITY TOTAL]]*TabSpecificationWork_1[[#This Row],[PRICE UNIT $PURCHASE]]</f>
        <v>20000</v>
      </c>
      <c r="Z43" s="81">
        <f>TabSpecificationWork_1[[#This Row],[VAT ADD PRICE $PURCHASE]]*TabSpecificationWork_1[[#This Row],[QUANTITY TOTAL]]+TabSpecificationWork_1[[#This Row],[COST PRICE $PURCHASE]]</f>
        <v>20000</v>
      </c>
      <c r="AA43" s="75"/>
      <c r="AB43" s="67" t="s">
        <v>653</v>
      </c>
      <c r="AC43" s="67"/>
      <c r="AD43" s="67"/>
    </row>
    <row r="44" spans="1:30" ht="100.8" x14ac:dyDescent="0.3">
      <c r="A44" s="72">
        <v>43</v>
      </c>
      <c r="B44" s="65"/>
      <c r="C44" s="66" t="s">
        <v>565</v>
      </c>
      <c r="D44" s="65" t="str">
        <f>MID(TabSpecificationWork_1[[#This Row],[NUM PROJECT]], SEARCH("-N",TabSpecificationWork_1[[#This Row],[NUM PROJECT]])+2, SEARCH("-",TabSpecificationWork_1[[#This Row],[NUM PROJECT]],SEARCH("-",TabSpecificationWork_1[[#This Row],[NUM PROJECT]])+1) - (SEARCH("-N",TabSpecificationWork_1[[#This Row],[NUM PROJECT]])+2))</f>
        <v>3</v>
      </c>
      <c r="E44" s="65">
        <v>1</v>
      </c>
      <c r="F44" s="77" t="s">
        <v>561</v>
      </c>
      <c r="G44" s="100">
        <v>602</v>
      </c>
      <c r="H44" s="65">
        <v>1</v>
      </c>
      <c r="I44"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3.602.1</v>
      </c>
      <c r="J44" s="69" t="s">
        <v>29</v>
      </c>
      <c r="K44" s="70" t="str">
        <f>LOWER(CONCATENATE(TabSpecificationWork_1[[#This Row],[NUM PROJECT]],"-","ver_",TabSpecificationWork_1[[#This Row],[VER COLLECTION]],"-","set_",TabSpecificationWork_1[[#This Row],[NUM FULL SET]],"-",TabSpecificationWork_1[[#This Row],[isSHIPPED]]))</f>
        <v>8/2026-n3-горизонт-ver_1-set_3.602.1-true</v>
      </c>
      <c r="L44" s="78" t="s">
        <v>708</v>
      </c>
      <c r="M44" s="77" t="s">
        <v>563</v>
      </c>
      <c r="N44" s="72" t="s">
        <v>268</v>
      </c>
      <c r="O44" s="72" t="s">
        <v>268</v>
      </c>
      <c r="P44" s="72" t="s">
        <v>550</v>
      </c>
      <c r="Q44" s="72" t="s">
        <v>550</v>
      </c>
      <c r="R44" s="72" t="s">
        <v>33</v>
      </c>
      <c r="S44" s="65">
        <v>1</v>
      </c>
      <c r="T44" s="65">
        <v>1</v>
      </c>
      <c r="U44" s="65">
        <f>TabSpecificationWork_1[[#This Row],[QUANTITY SET]]*TabSpecificationWork_1[[#This Row],[QUANTITY SHIPPED SET]]</f>
        <v>1</v>
      </c>
      <c r="V44" s="65">
        <v>1</v>
      </c>
      <c r="W44" s="80">
        <v>800000</v>
      </c>
      <c r="X44" s="84">
        <v>0</v>
      </c>
      <c r="Y44" s="73">
        <f>TabSpecificationWork_1[[#This Row],[QUANTITY TOTAL]]*TabSpecificationWork_1[[#This Row],[PRICE UNIT $PURCHASE]]</f>
        <v>800000</v>
      </c>
      <c r="Z44" s="81">
        <f>TabSpecificationWork_1[[#This Row],[VAT ADD PRICE $PURCHASE]]*TabSpecificationWork_1[[#This Row],[QUANTITY TOTAL]]+TabSpecificationWork_1[[#This Row],[COST PRICE $PURCHASE]]</f>
        <v>800000</v>
      </c>
      <c r="AA44" s="75"/>
      <c r="AB44" s="67" t="s">
        <v>654</v>
      </c>
      <c r="AC44" s="67"/>
      <c r="AD44" s="67"/>
    </row>
    <row r="45" spans="1:30" ht="144" x14ac:dyDescent="0.3">
      <c r="A45" s="72">
        <v>44</v>
      </c>
      <c r="B45" s="65"/>
      <c r="C45" s="66" t="s">
        <v>565</v>
      </c>
      <c r="D45" s="65" t="str">
        <f>MID(TabSpecificationWork_1[[#This Row],[NUM PROJECT]], SEARCH("-N",TabSpecificationWork_1[[#This Row],[NUM PROJECT]])+2, SEARCH("-",TabSpecificationWork_1[[#This Row],[NUM PROJECT]],SEARCH("-",TabSpecificationWork_1[[#This Row],[NUM PROJECT]])+1) - (SEARCH("-N",TabSpecificationWork_1[[#This Row],[NUM PROJECT]])+2))</f>
        <v>3</v>
      </c>
      <c r="E45" s="65">
        <v>1</v>
      </c>
      <c r="F45" s="77" t="s">
        <v>562</v>
      </c>
      <c r="G45" s="100">
        <v>603</v>
      </c>
      <c r="H45" s="65">
        <v>1</v>
      </c>
      <c r="I45"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3.603.1</v>
      </c>
      <c r="J45" s="69" t="s">
        <v>29</v>
      </c>
      <c r="K45" s="70" t="str">
        <f>LOWER(CONCATENATE(TabSpecificationWork_1[[#This Row],[NUM PROJECT]],"-","ver_",TabSpecificationWork_1[[#This Row],[VER COLLECTION]],"-","set_",TabSpecificationWork_1[[#This Row],[NUM FULL SET]],"-",TabSpecificationWork_1[[#This Row],[isSHIPPED]]))</f>
        <v>8/2026-n3-горизонт-ver_1-set_3.603.1-true</v>
      </c>
      <c r="L45" s="78" t="s">
        <v>704</v>
      </c>
      <c r="M45" s="77" t="s">
        <v>564</v>
      </c>
      <c r="N45" s="72" t="s">
        <v>268</v>
      </c>
      <c r="O45" s="72" t="s">
        <v>268</v>
      </c>
      <c r="P45" s="72" t="s">
        <v>550</v>
      </c>
      <c r="Q45" s="72" t="s">
        <v>550</v>
      </c>
      <c r="R45" s="72" t="s">
        <v>33</v>
      </c>
      <c r="S45" s="65">
        <v>1</v>
      </c>
      <c r="T45" s="65">
        <v>1</v>
      </c>
      <c r="U45" s="65">
        <f>TabSpecificationWork_1[[#This Row],[QUANTITY SET]]*TabSpecificationWork_1[[#This Row],[QUANTITY SHIPPED SET]]</f>
        <v>1</v>
      </c>
      <c r="V45" s="65">
        <v>1</v>
      </c>
      <c r="W45" s="80">
        <v>300000</v>
      </c>
      <c r="X45" s="84">
        <v>0</v>
      </c>
      <c r="Y45" s="73">
        <f>TabSpecificationWork_1[[#This Row],[QUANTITY TOTAL]]*TabSpecificationWork_1[[#This Row],[PRICE UNIT $PURCHASE]]</f>
        <v>300000</v>
      </c>
      <c r="Z45" s="81">
        <f>TabSpecificationWork_1[[#This Row],[VAT ADD PRICE $PURCHASE]]*TabSpecificationWork_1[[#This Row],[QUANTITY TOTAL]]+TabSpecificationWork_1[[#This Row],[COST PRICE $PURCHASE]]</f>
        <v>300000</v>
      </c>
      <c r="AA45" s="75"/>
      <c r="AB45" s="67" t="s">
        <v>655</v>
      </c>
      <c r="AC45" s="67"/>
      <c r="AD45" s="67"/>
    </row>
    <row r="46" spans="1:30" ht="115.2" x14ac:dyDescent="0.3">
      <c r="A46" s="72">
        <v>45</v>
      </c>
      <c r="B46" s="65"/>
      <c r="C46" s="66" t="s">
        <v>565</v>
      </c>
      <c r="D46" s="65" t="str">
        <f>MID(TabSpecificationWork_1[[#This Row],[NUM PROJECT]], SEARCH("-N",TabSpecificationWork_1[[#This Row],[NUM PROJECT]])+2, SEARCH("-",TabSpecificationWork_1[[#This Row],[NUM PROJECT]],SEARCH("-",TabSpecificationWork_1[[#This Row],[NUM PROJECT]])+1) - (SEARCH("-N",TabSpecificationWork_1[[#This Row],[NUM PROJECT]])+2))</f>
        <v>3</v>
      </c>
      <c r="E46" s="65">
        <v>1</v>
      </c>
      <c r="F46" s="67" t="s">
        <v>557</v>
      </c>
      <c r="G46" s="65">
        <v>701</v>
      </c>
      <c r="H46" s="65">
        <v>1</v>
      </c>
      <c r="I46"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3.701.1</v>
      </c>
      <c r="J46" s="69" t="s">
        <v>35</v>
      </c>
      <c r="K46" s="70" t="str">
        <f>LOWER(CONCATENATE(TabSpecificationWork_1[[#This Row],[NUM PROJECT]],"-","ver_",TabSpecificationWork_1[[#This Row],[VER COLLECTION]],"-","set_",TabSpecificationWork_1[[#This Row],[NUM FULL SET]],"-",TabSpecificationWork_1[[#This Row],[isSHIPPED]]))</f>
        <v>8/2026-n3-горизонт-ver_1-set_3.701.1-false</v>
      </c>
      <c r="L46" s="112" t="s">
        <v>710</v>
      </c>
      <c r="M46" s="67" t="s">
        <v>572</v>
      </c>
      <c r="N46" s="72" t="s">
        <v>268</v>
      </c>
      <c r="O46" s="72" t="s">
        <v>268</v>
      </c>
      <c r="P46" s="72" t="s">
        <v>550</v>
      </c>
      <c r="Q46" s="72" t="s">
        <v>550</v>
      </c>
      <c r="R46" s="72" t="s">
        <v>33</v>
      </c>
      <c r="S46" s="65">
        <v>1</v>
      </c>
      <c r="T46" s="65">
        <v>1</v>
      </c>
      <c r="U46" s="65">
        <f>TabSpecificationWork_1[[#This Row],[QUANTITY SET]]*TabSpecificationWork_1[[#This Row],[QUANTITY SHIPPED SET]]</f>
        <v>1</v>
      </c>
      <c r="V46" s="65">
        <v>1</v>
      </c>
      <c r="W46" s="73">
        <v>100000</v>
      </c>
      <c r="X46" s="74">
        <v>0</v>
      </c>
      <c r="Y46" s="73">
        <f>TabSpecificationWork_1[[#This Row],[QUANTITY TOTAL]]*TabSpecificationWork_1[[#This Row],[PRICE UNIT $PURCHASE]]</f>
        <v>100000</v>
      </c>
      <c r="Z46" s="73">
        <f>TabSpecificationWork_1[[#This Row],[VAT ADD PRICE $PURCHASE]]*TabSpecificationWork_1[[#This Row],[QUANTITY TOTAL]]+TabSpecificationWork_1[[#This Row],[COST PRICE $PURCHASE]]</f>
        <v>100000</v>
      </c>
      <c r="AA46" s="110"/>
      <c r="AB46" s="67" t="s">
        <v>653</v>
      </c>
      <c r="AC46" s="67"/>
      <c r="AD46" s="67"/>
    </row>
    <row r="47" spans="1:30" ht="115.2" x14ac:dyDescent="0.3">
      <c r="A47" s="72">
        <v>46</v>
      </c>
      <c r="B47" s="65"/>
      <c r="C47" s="66" t="s">
        <v>565</v>
      </c>
      <c r="D47" s="65" t="str">
        <f>MID(TabSpecificationWork_1[[#This Row],[NUM PROJECT]], SEARCH("-N",TabSpecificationWork_1[[#This Row],[NUM PROJECT]])+2, SEARCH("-",TabSpecificationWork_1[[#This Row],[NUM PROJECT]],SEARCH("-",TabSpecificationWork_1[[#This Row],[NUM PROJECT]])+1) - (SEARCH("-N",TabSpecificationWork_1[[#This Row],[NUM PROJECT]])+2))</f>
        <v>3</v>
      </c>
      <c r="E47" s="65">
        <v>1</v>
      </c>
      <c r="F47" s="67" t="s">
        <v>560</v>
      </c>
      <c r="G47" s="65">
        <v>701</v>
      </c>
      <c r="H47" s="65">
        <v>2</v>
      </c>
      <c r="I47"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3.701.2</v>
      </c>
      <c r="J47" s="69" t="s">
        <v>35</v>
      </c>
      <c r="K47" s="70" t="str">
        <f>LOWER(CONCATENATE(TabSpecificationWork_1[[#This Row],[NUM PROJECT]],"-","ver_",TabSpecificationWork_1[[#This Row],[VER COLLECTION]],"-","set_",TabSpecificationWork_1[[#This Row],[NUM FULL SET]],"-",TabSpecificationWork_1[[#This Row],[isSHIPPED]]))</f>
        <v>8/2026-n3-горизонт-ver_1-set_3.701.2-false</v>
      </c>
      <c r="L47" s="112" t="s">
        <v>711</v>
      </c>
      <c r="M47" s="67" t="s">
        <v>573</v>
      </c>
      <c r="N47" s="72" t="s">
        <v>268</v>
      </c>
      <c r="O47" s="72" t="s">
        <v>268</v>
      </c>
      <c r="P47" s="72" t="s">
        <v>550</v>
      </c>
      <c r="Q47" s="72" t="s">
        <v>550</v>
      </c>
      <c r="R47" s="72" t="s">
        <v>33</v>
      </c>
      <c r="S47" s="65">
        <v>1</v>
      </c>
      <c r="T47" s="65">
        <v>1</v>
      </c>
      <c r="U47" s="65">
        <f>TabSpecificationWork_1[[#This Row],[QUANTITY SET]]*TabSpecificationWork_1[[#This Row],[QUANTITY SHIPPED SET]]</f>
        <v>1</v>
      </c>
      <c r="V47" s="65">
        <v>1</v>
      </c>
      <c r="W47" s="73">
        <v>20000</v>
      </c>
      <c r="X47" s="74">
        <v>0</v>
      </c>
      <c r="Y47" s="73">
        <f>TabSpecificationWork_1[[#This Row],[QUANTITY TOTAL]]*TabSpecificationWork_1[[#This Row],[PRICE UNIT $PURCHASE]]</f>
        <v>20000</v>
      </c>
      <c r="Z47" s="73">
        <f>TabSpecificationWork_1[[#This Row],[VAT ADD PRICE $PURCHASE]]*TabSpecificationWork_1[[#This Row],[QUANTITY TOTAL]]+TabSpecificationWork_1[[#This Row],[COST PRICE $PURCHASE]]</f>
        <v>20000</v>
      </c>
      <c r="AA47" s="110"/>
      <c r="AB47" s="67" t="s">
        <v>653</v>
      </c>
      <c r="AC47" s="67"/>
      <c r="AD47" s="67"/>
    </row>
    <row r="48" spans="1:30" ht="86.4" x14ac:dyDescent="0.3">
      <c r="A48" s="72">
        <v>47</v>
      </c>
      <c r="B48" s="65"/>
      <c r="C48" s="66" t="s">
        <v>565</v>
      </c>
      <c r="D48" s="65" t="str">
        <f>MID(TabSpecificationWork_1[[#This Row],[NUM PROJECT]], SEARCH("-N",TabSpecificationWork_1[[#This Row],[NUM PROJECT]])+2, SEARCH("-",TabSpecificationWork_1[[#This Row],[NUM PROJECT]],SEARCH("-",TabSpecificationWork_1[[#This Row],[NUM PROJECT]])+1) - (SEARCH("-N",TabSpecificationWork_1[[#This Row],[NUM PROJECT]])+2))</f>
        <v>3</v>
      </c>
      <c r="E48" s="65">
        <v>1</v>
      </c>
      <c r="F48" s="67" t="s">
        <v>557</v>
      </c>
      <c r="G48" s="65">
        <v>701</v>
      </c>
      <c r="H48" s="65">
        <v>3</v>
      </c>
      <c r="I48"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3.701.3</v>
      </c>
      <c r="J48" s="69" t="s">
        <v>35</v>
      </c>
      <c r="K48" s="70" t="str">
        <f>LOWER(CONCATENATE(TabSpecificationWork_1[[#This Row],[NUM PROJECT]],"-","ver_",TabSpecificationWork_1[[#This Row],[VER COLLECTION]],"-","set_",TabSpecificationWork_1[[#This Row],[NUM FULL SET]],"-",TabSpecificationWork_1[[#This Row],[isSHIPPED]]))</f>
        <v>8/2026-n3-горизонт-ver_1-set_3.701.3-false</v>
      </c>
      <c r="L48" s="112" t="s">
        <v>712</v>
      </c>
      <c r="M48" s="67" t="s">
        <v>566</v>
      </c>
      <c r="N48" s="72" t="s">
        <v>268</v>
      </c>
      <c r="O48" s="72" t="s">
        <v>268</v>
      </c>
      <c r="P48" s="72" t="s">
        <v>550</v>
      </c>
      <c r="Q48" s="72" t="s">
        <v>550</v>
      </c>
      <c r="R48" s="72" t="s">
        <v>33</v>
      </c>
      <c r="S48" s="65">
        <v>1</v>
      </c>
      <c r="T48" s="65">
        <v>1</v>
      </c>
      <c r="U48" s="65">
        <f>TabSpecificationWork_1[[#This Row],[QUANTITY SET]]*TabSpecificationWork_1[[#This Row],[QUANTITY SHIPPED SET]]</f>
        <v>1</v>
      </c>
      <c r="V48" s="65">
        <v>1</v>
      </c>
      <c r="W48" s="73">
        <v>20000</v>
      </c>
      <c r="X48" s="74">
        <v>0</v>
      </c>
      <c r="Y48" s="73">
        <f>TabSpecificationWork_1[[#This Row],[QUANTITY TOTAL]]*TabSpecificationWork_1[[#This Row],[PRICE UNIT $PURCHASE]]</f>
        <v>20000</v>
      </c>
      <c r="Z48" s="73">
        <f>TabSpecificationWork_1[[#This Row],[VAT ADD PRICE $PURCHASE]]*TabSpecificationWork_1[[#This Row],[QUANTITY TOTAL]]+TabSpecificationWork_1[[#This Row],[COST PRICE $PURCHASE]]</f>
        <v>20000</v>
      </c>
      <c r="AA48" s="110"/>
      <c r="AB48" s="67" t="s">
        <v>653</v>
      </c>
      <c r="AC48" s="67"/>
      <c r="AD48" s="67"/>
    </row>
    <row r="49" spans="1:30" ht="100.8" x14ac:dyDescent="0.3">
      <c r="A49" s="72">
        <v>48</v>
      </c>
      <c r="B49" s="65"/>
      <c r="C49" s="66" t="s">
        <v>565</v>
      </c>
      <c r="D49" s="65" t="str">
        <f>MID(TabSpecificationWork_1[[#This Row],[NUM PROJECT]], SEARCH("-N",TabSpecificationWork_1[[#This Row],[NUM PROJECT]])+2, SEARCH("-",TabSpecificationWork_1[[#This Row],[NUM PROJECT]],SEARCH("-",TabSpecificationWork_1[[#This Row],[NUM PROJECT]])+1) - (SEARCH("-N",TabSpecificationWork_1[[#This Row],[NUM PROJECT]])+2))</f>
        <v>3</v>
      </c>
      <c r="E49" s="65">
        <v>1</v>
      </c>
      <c r="F49" s="67" t="s">
        <v>561</v>
      </c>
      <c r="G49" s="65">
        <v>702</v>
      </c>
      <c r="H49" s="65">
        <v>1</v>
      </c>
      <c r="I49" s="68"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3.702.1</v>
      </c>
      <c r="J49" s="69" t="s">
        <v>35</v>
      </c>
      <c r="K49" s="70" t="str">
        <f>LOWER(CONCATENATE(TabSpecificationWork_1[[#This Row],[NUM PROJECT]],"-","ver_",TabSpecificationWork_1[[#This Row],[VER COLLECTION]],"-","set_",TabSpecificationWork_1[[#This Row],[NUM FULL SET]],"-",TabSpecificationWork_1[[#This Row],[isSHIPPED]]))</f>
        <v>8/2026-n3-горизонт-ver_1-set_3.702.1-false</v>
      </c>
      <c r="L49" s="112" t="s">
        <v>713</v>
      </c>
      <c r="M49" s="67" t="s">
        <v>563</v>
      </c>
      <c r="N49" s="72" t="s">
        <v>268</v>
      </c>
      <c r="O49" s="72" t="s">
        <v>268</v>
      </c>
      <c r="P49" s="72" t="s">
        <v>550</v>
      </c>
      <c r="Q49" s="72" t="s">
        <v>550</v>
      </c>
      <c r="R49" s="72" t="s">
        <v>33</v>
      </c>
      <c r="S49" s="65">
        <v>1</v>
      </c>
      <c r="T49" s="65">
        <v>1</v>
      </c>
      <c r="U49" s="65">
        <f>TabSpecificationWork_1[[#This Row],[QUANTITY SET]]*TabSpecificationWork_1[[#This Row],[QUANTITY SHIPPED SET]]</f>
        <v>1</v>
      </c>
      <c r="V49" s="65">
        <v>1</v>
      </c>
      <c r="W49" s="73">
        <v>800000</v>
      </c>
      <c r="X49" s="74">
        <v>0</v>
      </c>
      <c r="Y49" s="73">
        <f>TabSpecificationWork_1[[#This Row],[QUANTITY TOTAL]]*TabSpecificationWork_1[[#This Row],[PRICE UNIT $PURCHASE]]</f>
        <v>800000</v>
      </c>
      <c r="Z49" s="73">
        <f>TabSpecificationWork_1[[#This Row],[VAT ADD PRICE $PURCHASE]]*TabSpecificationWork_1[[#This Row],[QUANTITY TOTAL]]+TabSpecificationWork_1[[#This Row],[COST PRICE $PURCHASE]]</f>
        <v>800000</v>
      </c>
      <c r="AA49" s="110"/>
      <c r="AB49" s="67" t="s">
        <v>654</v>
      </c>
      <c r="AC49" s="67"/>
      <c r="AD49" s="67"/>
    </row>
    <row r="50" spans="1:30" ht="144" x14ac:dyDescent="0.3">
      <c r="A50" s="72">
        <v>49</v>
      </c>
      <c r="B50" s="101"/>
      <c r="C50" s="102" t="s">
        <v>565</v>
      </c>
      <c r="D50" s="101" t="str">
        <f>MID(TabSpecificationWork_1[[#This Row],[NUM PROJECT]], SEARCH("-N",TabSpecificationWork_1[[#This Row],[NUM PROJECT]])+2, SEARCH("-",TabSpecificationWork_1[[#This Row],[NUM PROJECT]],SEARCH("-",TabSpecificationWork_1[[#This Row],[NUM PROJECT]])+1) - (SEARCH("-N",TabSpecificationWork_1[[#This Row],[NUM PROJECT]])+2))</f>
        <v>3</v>
      </c>
      <c r="E50" s="101">
        <v>1</v>
      </c>
      <c r="F50" s="103" t="s">
        <v>562</v>
      </c>
      <c r="G50" s="101">
        <v>703</v>
      </c>
      <c r="H50" s="101">
        <v>1</v>
      </c>
      <c r="I50"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3.703.1</v>
      </c>
      <c r="J50" s="105" t="s">
        <v>35</v>
      </c>
      <c r="K50" s="106" t="str">
        <f>LOWER(CONCATENATE(TabSpecificationWork_1[[#This Row],[NUM PROJECT]],"-","ver_",TabSpecificationWork_1[[#This Row],[VER COLLECTION]],"-","set_",TabSpecificationWork_1[[#This Row],[NUM FULL SET]],"-",TabSpecificationWork_1[[#This Row],[isSHIPPED]]))</f>
        <v>8/2026-n3-горизонт-ver_1-set_3.703.1-false</v>
      </c>
      <c r="L50" s="113" t="s">
        <v>714</v>
      </c>
      <c r="M50" s="103" t="s">
        <v>564</v>
      </c>
      <c r="N50" s="107" t="s">
        <v>268</v>
      </c>
      <c r="O50" s="107" t="s">
        <v>268</v>
      </c>
      <c r="P50" s="72" t="s">
        <v>550</v>
      </c>
      <c r="Q50" s="72" t="s">
        <v>550</v>
      </c>
      <c r="R50" s="107" t="s">
        <v>33</v>
      </c>
      <c r="S50" s="101">
        <v>1</v>
      </c>
      <c r="T50" s="101">
        <v>1</v>
      </c>
      <c r="U50" s="101">
        <f>TabSpecificationWork_1[[#This Row],[QUANTITY SET]]*TabSpecificationWork_1[[#This Row],[QUANTITY SHIPPED SET]]</f>
        <v>1</v>
      </c>
      <c r="V50" s="101">
        <v>1</v>
      </c>
      <c r="W50" s="108">
        <v>300000</v>
      </c>
      <c r="X50" s="109">
        <v>0</v>
      </c>
      <c r="Y50" s="108">
        <f>TabSpecificationWork_1[[#This Row],[QUANTITY TOTAL]]*TabSpecificationWork_1[[#This Row],[PRICE UNIT $PURCHASE]]</f>
        <v>300000</v>
      </c>
      <c r="Z50" s="108">
        <f>TabSpecificationWork_1[[#This Row],[VAT ADD PRICE $PURCHASE]]*TabSpecificationWork_1[[#This Row],[QUANTITY TOTAL]]+TabSpecificationWork_1[[#This Row],[COST PRICE $PURCHASE]]</f>
        <v>300000</v>
      </c>
      <c r="AA50" s="111"/>
      <c r="AB50" s="103" t="s">
        <v>655</v>
      </c>
      <c r="AC50" s="103"/>
      <c r="AD50" s="103"/>
    </row>
    <row r="51" spans="1:30" ht="86.4" x14ac:dyDescent="0.3">
      <c r="A51" s="72">
        <v>50</v>
      </c>
      <c r="B51" s="101"/>
      <c r="C51" s="102" t="s">
        <v>565</v>
      </c>
      <c r="D51" s="101" t="str">
        <f>MID(TabSpecificationWork_1[[#This Row],[NUM PROJECT]], SEARCH("-N",TabSpecificationWork_1[[#This Row],[NUM PROJECT]])+2, SEARCH("-",TabSpecificationWork_1[[#This Row],[NUM PROJECT]],SEARCH("-",TabSpecificationWork_1[[#This Row],[NUM PROJECT]])+1) - (SEARCH("-N",TabSpecificationWork_1[[#This Row],[NUM PROJECT]])+2))</f>
        <v>3</v>
      </c>
      <c r="E51" s="101">
        <v>1</v>
      </c>
      <c r="F51" s="103" t="s">
        <v>689</v>
      </c>
      <c r="G51" s="101">
        <v>104</v>
      </c>
      <c r="H51" s="101">
        <v>1</v>
      </c>
      <c r="I51"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3.104.1</v>
      </c>
      <c r="J51" s="105" t="s">
        <v>35</v>
      </c>
      <c r="K51" s="106" t="str">
        <f>LOWER(CONCATENATE(TabSpecificationWork_1[[#This Row],[NUM PROJECT]],"-","ver_",TabSpecificationWork_1[[#This Row],[VER COLLECTION]],"-","set_",TabSpecificationWork_1[[#This Row],[NUM FULL SET]],"-",TabSpecificationWork_1[[#This Row],[isSHIPPED]]))</f>
        <v>8/2026-n3-горизонт-ver_1-set_3.104.1-false</v>
      </c>
      <c r="L51" s="114" t="s">
        <v>686</v>
      </c>
      <c r="M51" s="103" t="s">
        <v>688</v>
      </c>
      <c r="N51" s="107" t="s">
        <v>268</v>
      </c>
      <c r="O51" s="107" t="s">
        <v>268</v>
      </c>
      <c r="P51" s="107" t="s">
        <v>550</v>
      </c>
      <c r="Q51" s="107" t="s">
        <v>550</v>
      </c>
      <c r="R51" s="107" t="s">
        <v>33</v>
      </c>
      <c r="S51" s="101">
        <v>1</v>
      </c>
      <c r="T51" s="101">
        <v>1</v>
      </c>
      <c r="U51" s="101">
        <f>TabSpecificationWork_1[[#This Row],[QUANTITY SET]]*TabSpecificationWork_1[[#This Row],[QUANTITY SHIPPED SET]]</f>
        <v>1</v>
      </c>
      <c r="V51" s="101">
        <v>1</v>
      </c>
      <c r="W51" s="108">
        <v>33300</v>
      </c>
      <c r="X51" s="109">
        <v>0</v>
      </c>
      <c r="Y51" s="108">
        <f>TabSpecificationWork_1[[#This Row],[QUANTITY TOTAL]]*TabSpecificationWork_1[[#This Row],[PRICE UNIT $PURCHASE]]</f>
        <v>33300</v>
      </c>
      <c r="Z51" s="108">
        <f>TabSpecificationWork_1[[#This Row],[VAT ADD PRICE $PURCHASE]]*TabSpecificationWork_1[[#This Row],[QUANTITY TOTAL]]+TabSpecificationWork_1[[#This Row],[COST PRICE $PURCHASE]]</f>
        <v>33300</v>
      </c>
      <c r="AA51" s="115"/>
      <c r="AB51" s="103" t="s">
        <v>747</v>
      </c>
      <c r="AC51" s="103"/>
      <c r="AD51" s="103"/>
    </row>
    <row r="52" spans="1:30" ht="72" x14ac:dyDescent="0.3">
      <c r="A52" s="72">
        <v>51</v>
      </c>
      <c r="B52" s="101"/>
      <c r="C52" s="102" t="s">
        <v>565</v>
      </c>
      <c r="D52" s="101" t="str">
        <f>MID(TabSpecificationWork_1[[#This Row],[NUM PROJECT]], SEARCH("-N",TabSpecificationWork_1[[#This Row],[NUM PROJECT]])+2, SEARCH("-",TabSpecificationWork_1[[#This Row],[NUM PROJECT]],SEARCH("-",TabSpecificationWork_1[[#This Row],[NUM PROJECT]])+1) - (SEARCH("-N",TabSpecificationWork_1[[#This Row],[NUM PROJECT]])+2))</f>
        <v>3</v>
      </c>
      <c r="E52" s="101">
        <v>1</v>
      </c>
      <c r="F52" s="103" t="s">
        <v>689</v>
      </c>
      <c r="G52" s="101">
        <v>204</v>
      </c>
      <c r="H52" s="101">
        <v>1</v>
      </c>
      <c r="I52"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3.204.1</v>
      </c>
      <c r="J52" s="105" t="s">
        <v>29</v>
      </c>
      <c r="K52" s="106" t="str">
        <f>LOWER(CONCATENATE(TabSpecificationWork_1[[#This Row],[NUM PROJECT]],"-","ver_",TabSpecificationWork_1[[#This Row],[VER COLLECTION]],"-","set_",TabSpecificationWork_1[[#This Row],[NUM FULL SET]],"-",TabSpecificationWork_1[[#This Row],[isSHIPPED]]))</f>
        <v>8/2026-n3-горизонт-ver_1-set_3.204.1-true</v>
      </c>
      <c r="L52" s="114" t="s">
        <v>690</v>
      </c>
      <c r="M52" s="103" t="s">
        <v>688</v>
      </c>
      <c r="N52" s="107" t="s">
        <v>268</v>
      </c>
      <c r="O52" s="107" t="s">
        <v>268</v>
      </c>
      <c r="P52" s="107" t="s">
        <v>550</v>
      </c>
      <c r="Q52" s="107" t="s">
        <v>550</v>
      </c>
      <c r="R52" s="107" t="s">
        <v>33</v>
      </c>
      <c r="S52" s="101">
        <v>1</v>
      </c>
      <c r="T52" s="101">
        <v>1</v>
      </c>
      <c r="U52" s="101">
        <f>TabSpecificationWork_1[[#This Row],[QUANTITY SET]]*TabSpecificationWork_1[[#This Row],[QUANTITY SHIPPED SET]]</f>
        <v>1</v>
      </c>
      <c r="V52" s="101">
        <v>1</v>
      </c>
      <c r="W52" s="108">
        <v>33300</v>
      </c>
      <c r="X52" s="109">
        <v>0</v>
      </c>
      <c r="Y52" s="108">
        <v>33330</v>
      </c>
      <c r="Z52" s="108">
        <f>TabSpecificationWork_1[[#This Row],[VAT ADD PRICE $PURCHASE]]*TabSpecificationWork_1[[#This Row],[QUANTITY TOTAL]]+TabSpecificationWork_1[[#This Row],[COST PRICE $PURCHASE]]</f>
        <v>33330</v>
      </c>
      <c r="AA52" s="115"/>
      <c r="AB52" s="103" t="s">
        <v>687</v>
      </c>
      <c r="AC52" s="103"/>
      <c r="AD52" s="103"/>
    </row>
    <row r="53" spans="1:30" ht="72" x14ac:dyDescent="0.3">
      <c r="A53" s="72">
        <v>52</v>
      </c>
      <c r="B53" s="101"/>
      <c r="C53" s="102" t="s">
        <v>565</v>
      </c>
      <c r="D53" s="101" t="str">
        <f>MID(TabSpecificationWork_1[[#This Row],[NUM PROJECT]], SEARCH("-N",TabSpecificationWork_1[[#This Row],[NUM PROJECT]])+2, SEARCH("-",TabSpecificationWork_1[[#This Row],[NUM PROJECT]],SEARCH("-",TabSpecificationWork_1[[#This Row],[NUM PROJECT]])+1) - (SEARCH("-N",TabSpecificationWork_1[[#This Row],[NUM PROJECT]])+2))</f>
        <v>3</v>
      </c>
      <c r="E53" s="101">
        <v>1</v>
      </c>
      <c r="F53" s="103" t="s">
        <v>689</v>
      </c>
      <c r="G53" s="101">
        <v>304</v>
      </c>
      <c r="H53" s="101">
        <v>1</v>
      </c>
      <c r="I53"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3.304.1</v>
      </c>
      <c r="J53" s="105" t="s">
        <v>29</v>
      </c>
      <c r="K53" s="106" t="str">
        <f>LOWER(CONCATENATE(TabSpecificationWork_1[[#This Row],[NUM PROJECT]],"-","ver_",TabSpecificationWork_1[[#This Row],[VER COLLECTION]],"-","set_",TabSpecificationWork_1[[#This Row],[NUM FULL SET]],"-",TabSpecificationWork_1[[#This Row],[isSHIPPED]]))</f>
        <v>8/2026-n3-горизонт-ver_1-set_3.304.1-true</v>
      </c>
      <c r="L53" s="114" t="s">
        <v>691</v>
      </c>
      <c r="M53" s="103" t="s">
        <v>688</v>
      </c>
      <c r="N53" s="107" t="s">
        <v>268</v>
      </c>
      <c r="O53" s="107" t="s">
        <v>268</v>
      </c>
      <c r="P53" s="107" t="s">
        <v>550</v>
      </c>
      <c r="Q53" s="107" t="s">
        <v>550</v>
      </c>
      <c r="R53" s="107" t="s">
        <v>33</v>
      </c>
      <c r="S53" s="101">
        <v>1</v>
      </c>
      <c r="T53" s="101">
        <v>1</v>
      </c>
      <c r="U53" s="101">
        <f>TabSpecificationWork_1[[#This Row],[QUANTITY SET]]*TabSpecificationWork_1[[#This Row],[QUANTITY SHIPPED SET]]</f>
        <v>1</v>
      </c>
      <c r="V53" s="101">
        <v>1</v>
      </c>
      <c r="W53" s="108">
        <v>33300</v>
      </c>
      <c r="X53" s="109">
        <v>0</v>
      </c>
      <c r="Y53" s="108">
        <v>33330</v>
      </c>
      <c r="Z53" s="108">
        <f>TabSpecificationWork_1[[#This Row],[VAT ADD PRICE $PURCHASE]]*TabSpecificationWork_1[[#This Row],[QUANTITY TOTAL]]+TabSpecificationWork_1[[#This Row],[COST PRICE $PURCHASE]]</f>
        <v>33330</v>
      </c>
      <c r="AA53" s="115"/>
      <c r="AB53" s="103" t="s">
        <v>687</v>
      </c>
      <c r="AC53" s="103"/>
      <c r="AD53" s="103"/>
    </row>
    <row r="54" spans="1:30" ht="72" x14ac:dyDescent="0.3">
      <c r="A54" s="72">
        <v>53</v>
      </c>
      <c r="B54" s="101"/>
      <c r="C54" s="102" t="s">
        <v>565</v>
      </c>
      <c r="D54" s="101" t="str">
        <f>MID(TabSpecificationWork_1[[#This Row],[NUM PROJECT]], SEARCH("-N",TabSpecificationWork_1[[#This Row],[NUM PROJECT]])+2, SEARCH("-",TabSpecificationWork_1[[#This Row],[NUM PROJECT]],SEARCH("-",TabSpecificationWork_1[[#This Row],[NUM PROJECT]])+1) - (SEARCH("-N",TabSpecificationWork_1[[#This Row],[NUM PROJECT]])+2))</f>
        <v>3</v>
      </c>
      <c r="E54" s="101">
        <v>1</v>
      </c>
      <c r="F54" s="103" t="s">
        <v>689</v>
      </c>
      <c r="G54" s="101">
        <v>404</v>
      </c>
      <c r="H54" s="101">
        <v>1</v>
      </c>
      <c r="I54"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3.404.1</v>
      </c>
      <c r="J54" s="105" t="s">
        <v>29</v>
      </c>
      <c r="K54" s="106" t="str">
        <f>LOWER(CONCATENATE(TabSpecificationWork_1[[#This Row],[NUM PROJECT]],"-","ver_",TabSpecificationWork_1[[#This Row],[VER COLLECTION]],"-","set_",TabSpecificationWork_1[[#This Row],[NUM FULL SET]],"-",TabSpecificationWork_1[[#This Row],[isSHIPPED]]))</f>
        <v>8/2026-n3-горизонт-ver_1-set_3.404.1-true</v>
      </c>
      <c r="L54" s="114" t="s">
        <v>692</v>
      </c>
      <c r="M54" s="103" t="s">
        <v>688</v>
      </c>
      <c r="N54" s="107" t="s">
        <v>268</v>
      </c>
      <c r="O54" s="107" t="s">
        <v>268</v>
      </c>
      <c r="P54" s="107" t="s">
        <v>550</v>
      </c>
      <c r="Q54" s="107" t="s">
        <v>550</v>
      </c>
      <c r="R54" s="107" t="s">
        <v>33</v>
      </c>
      <c r="S54" s="101">
        <v>1</v>
      </c>
      <c r="T54" s="101">
        <v>1</v>
      </c>
      <c r="U54" s="101">
        <f>TabSpecificationWork_1[[#This Row],[QUANTITY SET]]*TabSpecificationWork_1[[#This Row],[QUANTITY SHIPPED SET]]</f>
        <v>1</v>
      </c>
      <c r="V54" s="101">
        <v>1</v>
      </c>
      <c r="W54" s="108">
        <v>33300</v>
      </c>
      <c r="X54" s="109">
        <v>0</v>
      </c>
      <c r="Y54" s="108">
        <f>TabSpecificationWork_1[[#This Row],[QUANTITY TOTAL]]*TabSpecificationWork_1[[#This Row],[PRICE UNIT $PURCHASE]]</f>
        <v>33300</v>
      </c>
      <c r="Z54" s="108">
        <f>TabSpecificationWork_1[[#This Row],[VAT ADD PRICE $PURCHASE]]*TabSpecificationWork_1[[#This Row],[QUANTITY TOTAL]]+TabSpecificationWork_1[[#This Row],[COST PRICE $PURCHASE]]</f>
        <v>33300</v>
      </c>
      <c r="AA54" s="115"/>
      <c r="AB54" s="103" t="s">
        <v>687</v>
      </c>
      <c r="AC54" s="103"/>
      <c r="AD54" s="103"/>
    </row>
    <row r="55" spans="1:30" ht="72" x14ac:dyDescent="0.3">
      <c r="A55" s="72">
        <v>54</v>
      </c>
      <c r="B55" s="101"/>
      <c r="C55" s="102" t="s">
        <v>565</v>
      </c>
      <c r="D55" s="101" t="str">
        <f>MID(TabSpecificationWork_1[[#This Row],[NUM PROJECT]], SEARCH("-N",TabSpecificationWork_1[[#This Row],[NUM PROJECT]])+2, SEARCH("-",TabSpecificationWork_1[[#This Row],[NUM PROJECT]],SEARCH("-",TabSpecificationWork_1[[#This Row],[NUM PROJECT]])+1) - (SEARCH("-N",TabSpecificationWork_1[[#This Row],[NUM PROJECT]])+2))</f>
        <v>3</v>
      </c>
      <c r="E55" s="101">
        <v>1</v>
      </c>
      <c r="F55" s="103" t="s">
        <v>689</v>
      </c>
      <c r="G55" s="101">
        <v>504</v>
      </c>
      <c r="H55" s="101">
        <v>1</v>
      </c>
      <c r="I55"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3.504.1</v>
      </c>
      <c r="J55" s="105" t="s">
        <v>35</v>
      </c>
      <c r="K55" s="106" t="str">
        <f>LOWER(CONCATENATE(TabSpecificationWork_1[[#This Row],[NUM PROJECT]],"-","ver_",TabSpecificationWork_1[[#This Row],[VER COLLECTION]],"-","set_",TabSpecificationWork_1[[#This Row],[NUM FULL SET]],"-",TabSpecificationWork_1[[#This Row],[isSHIPPED]]))</f>
        <v>8/2026-n3-горизонт-ver_1-set_3.504.1-false</v>
      </c>
      <c r="L55" s="114" t="s">
        <v>703</v>
      </c>
      <c r="M55" s="103" t="s">
        <v>688</v>
      </c>
      <c r="N55" s="107" t="s">
        <v>268</v>
      </c>
      <c r="O55" s="107" t="s">
        <v>268</v>
      </c>
      <c r="P55" s="107" t="s">
        <v>550</v>
      </c>
      <c r="Q55" s="107" t="s">
        <v>550</v>
      </c>
      <c r="R55" s="107" t="s">
        <v>33</v>
      </c>
      <c r="S55" s="101">
        <v>1</v>
      </c>
      <c r="T55" s="101">
        <v>1</v>
      </c>
      <c r="U55" s="101">
        <f>TabSpecificationWork_1[[#This Row],[QUANTITY SET]]*TabSpecificationWork_1[[#This Row],[QUANTITY SHIPPED SET]]</f>
        <v>1</v>
      </c>
      <c r="V55" s="101">
        <v>1</v>
      </c>
      <c r="W55" s="108">
        <v>33300</v>
      </c>
      <c r="X55" s="109">
        <v>0</v>
      </c>
      <c r="Y55" s="108">
        <f>TabSpecificationWork_1[[#This Row],[QUANTITY TOTAL]]*TabSpecificationWork_1[[#This Row],[PRICE UNIT $PURCHASE]]</f>
        <v>33300</v>
      </c>
      <c r="Z55" s="108">
        <f>TabSpecificationWork_1[[#This Row],[VAT ADD PRICE $PURCHASE]]*TabSpecificationWork_1[[#This Row],[QUANTITY TOTAL]]+TabSpecificationWork_1[[#This Row],[COST PRICE $PURCHASE]]</f>
        <v>33300</v>
      </c>
      <c r="AA55" s="115"/>
      <c r="AB55" s="103" t="s">
        <v>687</v>
      </c>
      <c r="AC55" s="103"/>
      <c r="AD55" s="103"/>
    </row>
    <row r="56" spans="1:30" ht="72" x14ac:dyDescent="0.3">
      <c r="A56" s="72">
        <v>55</v>
      </c>
      <c r="B56" s="101"/>
      <c r="C56" s="102" t="s">
        <v>565</v>
      </c>
      <c r="D56" s="101" t="str">
        <f>MID(TabSpecificationWork_1[[#This Row],[NUM PROJECT]], SEARCH("-N",TabSpecificationWork_1[[#This Row],[NUM PROJECT]])+2, SEARCH("-",TabSpecificationWork_1[[#This Row],[NUM PROJECT]],SEARCH("-",TabSpecificationWork_1[[#This Row],[NUM PROJECT]])+1) - (SEARCH("-N",TabSpecificationWork_1[[#This Row],[NUM PROJECT]])+2))</f>
        <v>3</v>
      </c>
      <c r="E56" s="101">
        <v>1</v>
      </c>
      <c r="F56" s="103" t="s">
        <v>689</v>
      </c>
      <c r="G56" s="101">
        <v>604</v>
      </c>
      <c r="H56" s="101">
        <v>1</v>
      </c>
      <c r="I56"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3.604.1</v>
      </c>
      <c r="J56" s="105" t="s">
        <v>29</v>
      </c>
      <c r="K56" s="106" t="str">
        <f>LOWER(CONCATENATE(TabSpecificationWork_1[[#This Row],[NUM PROJECT]],"-","ver_",TabSpecificationWork_1[[#This Row],[VER COLLECTION]],"-","set_",TabSpecificationWork_1[[#This Row],[NUM FULL SET]],"-",TabSpecificationWork_1[[#This Row],[isSHIPPED]]))</f>
        <v>8/2026-n3-горизонт-ver_1-set_3.604.1-true</v>
      </c>
      <c r="L56" s="114" t="s">
        <v>709</v>
      </c>
      <c r="M56" s="103" t="s">
        <v>688</v>
      </c>
      <c r="N56" s="107" t="s">
        <v>268</v>
      </c>
      <c r="O56" s="107" t="s">
        <v>268</v>
      </c>
      <c r="P56" s="107" t="s">
        <v>550</v>
      </c>
      <c r="Q56" s="107" t="s">
        <v>550</v>
      </c>
      <c r="R56" s="107" t="s">
        <v>33</v>
      </c>
      <c r="S56" s="101">
        <v>1</v>
      </c>
      <c r="T56" s="101">
        <v>1</v>
      </c>
      <c r="U56" s="101">
        <f>TabSpecificationWork_1[[#This Row],[QUANTITY SET]]*TabSpecificationWork_1[[#This Row],[QUANTITY SHIPPED SET]]</f>
        <v>1</v>
      </c>
      <c r="V56" s="101">
        <v>1</v>
      </c>
      <c r="W56" s="108">
        <v>33300</v>
      </c>
      <c r="X56" s="109">
        <v>0</v>
      </c>
      <c r="Y56" s="108">
        <f>TabSpecificationWork_1[[#This Row],[QUANTITY TOTAL]]*TabSpecificationWork_1[[#This Row],[PRICE UNIT $PURCHASE]]</f>
        <v>33300</v>
      </c>
      <c r="Z56" s="108">
        <f>TabSpecificationWork_1[[#This Row],[VAT ADD PRICE $PURCHASE]]*TabSpecificationWork_1[[#This Row],[QUANTITY TOTAL]]+TabSpecificationWork_1[[#This Row],[COST PRICE $PURCHASE]]</f>
        <v>33300</v>
      </c>
      <c r="AA56" s="115"/>
      <c r="AB56" s="103" t="s">
        <v>687</v>
      </c>
      <c r="AC56" s="103"/>
      <c r="AD56" s="103"/>
    </row>
    <row r="57" spans="1:30" ht="72" x14ac:dyDescent="0.3">
      <c r="A57" s="72">
        <v>56</v>
      </c>
      <c r="B57" s="101"/>
      <c r="C57" s="102" t="s">
        <v>565</v>
      </c>
      <c r="D57" s="101" t="str">
        <f>MID(TabSpecificationWork_1[[#This Row],[NUM PROJECT]], SEARCH("-N",TabSpecificationWork_1[[#This Row],[NUM PROJECT]])+2, SEARCH("-",TabSpecificationWork_1[[#This Row],[NUM PROJECT]],SEARCH("-",TabSpecificationWork_1[[#This Row],[NUM PROJECT]])+1) - (SEARCH("-N",TabSpecificationWork_1[[#This Row],[NUM PROJECT]])+2))</f>
        <v>3</v>
      </c>
      <c r="E57" s="101">
        <v>1</v>
      </c>
      <c r="F57" s="103" t="s">
        <v>689</v>
      </c>
      <c r="G57" s="101">
        <v>704</v>
      </c>
      <c r="H57" s="101">
        <v>1</v>
      </c>
      <c r="I57"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3.704.1</v>
      </c>
      <c r="J57" s="105" t="s">
        <v>35</v>
      </c>
      <c r="K57" s="106" t="str">
        <f>LOWER(CONCATENATE(TabSpecificationWork_1[[#This Row],[NUM PROJECT]],"-","ver_",TabSpecificationWork_1[[#This Row],[VER COLLECTION]],"-","set_",TabSpecificationWork_1[[#This Row],[NUM FULL SET]],"-",TabSpecificationWork_1[[#This Row],[isSHIPPED]]))</f>
        <v>8/2026-n3-горизонт-ver_1-set_3.704.1-false</v>
      </c>
      <c r="L57" s="114" t="s">
        <v>715</v>
      </c>
      <c r="M57" s="103" t="s">
        <v>688</v>
      </c>
      <c r="N57" s="107" t="s">
        <v>268</v>
      </c>
      <c r="O57" s="107" t="s">
        <v>268</v>
      </c>
      <c r="P57" s="107" t="s">
        <v>550</v>
      </c>
      <c r="Q57" s="107" t="s">
        <v>550</v>
      </c>
      <c r="R57" s="107" t="s">
        <v>33</v>
      </c>
      <c r="S57" s="101">
        <v>1</v>
      </c>
      <c r="T57" s="101">
        <v>1</v>
      </c>
      <c r="U57" s="101">
        <f>TabSpecificationWork_1[[#This Row],[QUANTITY SET]]*TabSpecificationWork_1[[#This Row],[QUANTITY SHIPPED SET]]</f>
        <v>1</v>
      </c>
      <c r="V57" s="101">
        <v>1</v>
      </c>
      <c r="W57" s="108">
        <v>33300</v>
      </c>
      <c r="X57" s="109">
        <v>0</v>
      </c>
      <c r="Y57" s="108">
        <f>TabSpecificationWork_1[[#This Row],[QUANTITY TOTAL]]*TabSpecificationWork_1[[#This Row],[PRICE UNIT $PURCHASE]]</f>
        <v>33300</v>
      </c>
      <c r="Z57" s="108">
        <f>TabSpecificationWork_1[[#This Row],[VAT ADD PRICE $PURCHASE]]*TabSpecificationWork_1[[#This Row],[QUANTITY TOTAL]]+TabSpecificationWork_1[[#This Row],[COST PRICE $PURCHASE]]</f>
        <v>33300</v>
      </c>
      <c r="AA57" s="115"/>
      <c r="AB57" s="103" t="s">
        <v>687</v>
      </c>
      <c r="AC57" s="103"/>
      <c r="AD57" s="103"/>
    </row>
    <row r="58" spans="1:30" ht="172.8" x14ac:dyDescent="0.3">
      <c r="A58" s="72">
        <v>57</v>
      </c>
      <c r="B58" s="101" t="s">
        <v>491</v>
      </c>
      <c r="C58" s="102" t="s">
        <v>492</v>
      </c>
      <c r="D58" s="101" t="str">
        <f>MID(TabSpecificationWork_1[[#This Row],[NUM PROJECT]], SEARCH("-N",TabSpecificationWork_1[[#This Row],[NUM PROJECT]])+2, SEARCH("-",TabSpecificationWork_1[[#This Row],[NUM PROJECT]],SEARCH("-",TabSpecificationWork_1[[#This Row],[NUM PROJECT]])+1) - (SEARCH("-N",TabSpecificationWork_1[[#This Row],[NUM PROJECT]])+2))</f>
        <v>1</v>
      </c>
      <c r="E58" s="101">
        <v>2</v>
      </c>
      <c r="F58" s="103" t="s">
        <v>493</v>
      </c>
      <c r="G58" s="101">
        <v>101</v>
      </c>
      <c r="H58" s="101">
        <v>7</v>
      </c>
      <c r="I58"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1.101.7</v>
      </c>
      <c r="J58" s="105" t="s">
        <v>29</v>
      </c>
      <c r="K58" s="106" t="str">
        <f>LOWER(CONCATENATE(TabSpecificationWork_1[[#This Row],[NUM PROJECT]],"-","ver_",TabSpecificationWork_1[[#This Row],[VER COLLECTION]],"-","set_",TabSpecificationWork_1[[#This Row],[NUM FULL SET]],"-",TabSpecificationWork_1[[#This Row],[isSHIPPED]]))</f>
        <v>8/2026-n1-горизонт-ver_2-set_1.101.7-true</v>
      </c>
      <c r="L58" s="103" t="s">
        <v>732</v>
      </c>
      <c r="M58" s="103" t="s">
        <v>733</v>
      </c>
      <c r="N58" s="107" t="s">
        <v>268</v>
      </c>
      <c r="O58" s="107" t="s">
        <v>268</v>
      </c>
      <c r="P58" s="107" t="s">
        <v>550</v>
      </c>
      <c r="Q58" s="107" t="s">
        <v>550</v>
      </c>
      <c r="R58" s="107" t="s">
        <v>33</v>
      </c>
      <c r="S58" s="101">
        <v>1</v>
      </c>
      <c r="T58" s="101">
        <v>1</v>
      </c>
      <c r="U58" s="101">
        <f>TabSpecificationWork_1[[#This Row],[QUANTITY SET]]*TabSpecificationWork_1[[#This Row],[QUANTITY SHIPPED SET]]</f>
        <v>1</v>
      </c>
      <c r="V58" s="101">
        <v>1</v>
      </c>
      <c r="W58" s="108">
        <v>25000</v>
      </c>
      <c r="X58" s="109">
        <v>0</v>
      </c>
      <c r="Y58" s="108">
        <f>TabSpecificationWork_1[[#This Row],[QUANTITY TOTAL]]*TabSpecificationWork_1[[#This Row],[PRICE UNIT $PURCHASE]]</f>
        <v>25000</v>
      </c>
      <c r="Z58" s="108">
        <f>TabSpecificationWork_1[[#This Row],[VAT ADD PRICE $PURCHASE]]*TabSpecificationWork_1[[#This Row],[QUANTITY TOTAL]]+TabSpecificationWork_1[[#This Row],[COST PRICE $PURCHASE]]</f>
        <v>25000</v>
      </c>
      <c r="AA58" s="111" t="s">
        <v>491</v>
      </c>
      <c r="AB58" s="103" t="s">
        <v>551</v>
      </c>
      <c r="AC58" s="103" t="s">
        <v>491</v>
      </c>
      <c r="AD58" s="103"/>
    </row>
    <row r="59" spans="1:30" ht="115.2" x14ac:dyDescent="0.3">
      <c r="A59" s="72">
        <v>58</v>
      </c>
      <c r="B59" s="65"/>
      <c r="C59" s="66" t="s">
        <v>565</v>
      </c>
      <c r="D59" s="101" t="str">
        <f>MID(TabSpecificationWork_1[[#This Row],[NUM PROJECT]], SEARCH("-N",TabSpecificationWork_1[[#This Row],[NUM PROJECT]])+2, SEARCH("-",TabSpecificationWork_1[[#This Row],[NUM PROJECT]],SEARCH("-",TabSpecificationWork_1[[#This Row],[NUM PROJECT]])+1) - (SEARCH("-N",TabSpecificationWork_1[[#This Row],[NUM PROJECT]])+2))</f>
        <v>3</v>
      </c>
      <c r="E59" s="101">
        <v>2</v>
      </c>
      <c r="F59" s="67" t="s">
        <v>557</v>
      </c>
      <c r="G59" s="65">
        <v>501</v>
      </c>
      <c r="H59" s="65">
        <v>1</v>
      </c>
      <c r="I59"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3.501.1</v>
      </c>
      <c r="J59" s="69" t="s">
        <v>29</v>
      </c>
      <c r="K59" s="106" t="str">
        <f>LOWER(CONCATENATE(TabSpecificationWork_1[[#This Row],[NUM PROJECT]],"-","ver_",TabSpecificationWork_1[[#This Row],[VER COLLECTION]],"-","set_",TabSpecificationWork_1[[#This Row],[NUM FULL SET]],"-",TabSpecificationWork_1[[#This Row],[isSHIPPED]]))</f>
        <v>8/2026-n3-горизонт-ver_2-set_3.501.1-true</v>
      </c>
      <c r="L59" s="78" t="s">
        <v>762</v>
      </c>
      <c r="M59" s="77" t="s">
        <v>572</v>
      </c>
      <c r="N59" s="72" t="s">
        <v>268</v>
      </c>
      <c r="O59" s="72" t="s">
        <v>268</v>
      </c>
      <c r="P59" s="72" t="s">
        <v>550</v>
      </c>
      <c r="Q59" s="72" t="s">
        <v>550</v>
      </c>
      <c r="R59" s="72" t="s">
        <v>33</v>
      </c>
      <c r="S59" s="65">
        <v>1</v>
      </c>
      <c r="T59" s="65">
        <v>1</v>
      </c>
      <c r="U59" s="101">
        <f>TabSpecificationWork_1[[#This Row],[QUANTITY SET]]*TabSpecificationWork_1[[#This Row],[QUANTITY SHIPPED SET]]</f>
        <v>1</v>
      </c>
      <c r="V59" s="65">
        <v>1</v>
      </c>
      <c r="W59" s="80">
        <v>100000</v>
      </c>
      <c r="X59" s="109">
        <v>0</v>
      </c>
      <c r="Y59" s="108">
        <f>TabSpecificationWork_1[[#This Row],[QUANTITY TOTAL]]*TabSpecificationWork_1[[#This Row],[PRICE UNIT $PURCHASE]]</f>
        <v>100000</v>
      </c>
      <c r="Z59" s="108">
        <f>TabSpecificationWork_1[[#This Row],[VAT ADD PRICE $PURCHASE]]*TabSpecificationWork_1[[#This Row],[QUANTITY TOTAL]]+TabSpecificationWork_1[[#This Row],[COST PRICE $PURCHASE]]</f>
        <v>100000</v>
      </c>
      <c r="AA59" s="75"/>
      <c r="AB59" s="67" t="s">
        <v>758</v>
      </c>
      <c r="AC59" s="67"/>
      <c r="AD59" s="67"/>
    </row>
    <row r="60" spans="1:30" ht="115.2" x14ac:dyDescent="0.3">
      <c r="A60" s="72">
        <v>59</v>
      </c>
      <c r="B60" s="65"/>
      <c r="C60" s="66" t="s">
        <v>565</v>
      </c>
      <c r="D60" s="101" t="str">
        <f>MID(TabSpecificationWork_1[[#This Row],[NUM PROJECT]], SEARCH("-N",TabSpecificationWork_1[[#This Row],[NUM PROJECT]])+2, SEARCH("-",TabSpecificationWork_1[[#This Row],[NUM PROJECT]],SEARCH("-",TabSpecificationWork_1[[#This Row],[NUM PROJECT]])+1) - (SEARCH("-N",TabSpecificationWork_1[[#This Row],[NUM PROJECT]])+2))</f>
        <v>3</v>
      </c>
      <c r="E60" s="101">
        <v>2</v>
      </c>
      <c r="F60" s="77" t="s">
        <v>560</v>
      </c>
      <c r="G60" s="65">
        <v>501</v>
      </c>
      <c r="H60" s="65">
        <v>2</v>
      </c>
      <c r="I60"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3.501.2</v>
      </c>
      <c r="J60" s="69" t="s">
        <v>29</v>
      </c>
      <c r="K60" s="106" t="str">
        <f>LOWER(CONCATENATE(TabSpecificationWork_1[[#This Row],[NUM PROJECT]],"-","ver_",TabSpecificationWork_1[[#This Row],[VER COLLECTION]],"-","set_",TabSpecificationWork_1[[#This Row],[NUM FULL SET]],"-",TabSpecificationWork_1[[#This Row],[isSHIPPED]]))</f>
        <v>8/2026-n3-горизонт-ver_2-set_3.501.2-true</v>
      </c>
      <c r="L60" s="78" t="s">
        <v>763</v>
      </c>
      <c r="M60" s="77" t="s">
        <v>573</v>
      </c>
      <c r="N60" s="72" t="s">
        <v>268</v>
      </c>
      <c r="O60" s="72" t="s">
        <v>268</v>
      </c>
      <c r="P60" s="72" t="s">
        <v>550</v>
      </c>
      <c r="Q60" s="72" t="s">
        <v>550</v>
      </c>
      <c r="R60" s="72" t="s">
        <v>33</v>
      </c>
      <c r="S60" s="65">
        <v>1</v>
      </c>
      <c r="T60" s="65">
        <v>1</v>
      </c>
      <c r="U60" s="101">
        <f>TabSpecificationWork_1[[#This Row],[QUANTITY SET]]*TabSpecificationWork_1[[#This Row],[QUANTITY SHIPPED SET]]</f>
        <v>1</v>
      </c>
      <c r="V60" s="65">
        <v>1</v>
      </c>
      <c r="W60" s="80">
        <v>20000</v>
      </c>
      <c r="X60" s="109">
        <v>0</v>
      </c>
      <c r="Y60" s="108">
        <f>TabSpecificationWork_1[[#This Row],[QUANTITY TOTAL]]*TabSpecificationWork_1[[#This Row],[PRICE UNIT $PURCHASE]]</f>
        <v>20000</v>
      </c>
      <c r="Z60" s="108">
        <f>TabSpecificationWork_1[[#This Row],[VAT ADD PRICE $PURCHASE]]*TabSpecificationWork_1[[#This Row],[QUANTITY TOTAL]]+TabSpecificationWork_1[[#This Row],[COST PRICE $PURCHASE]]</f>
        <v>20000</v>
      </c>
      <c r="AA60" s="75"/>
      <c r="AB60" s="67" t="s">
        <v>758</v>
      </c>
      <c r="AC60" s="67"/>
      <c r="AD60" s="67"/>
    </row>
    <row r="61" spans="1:30" ht="86.4" x14ac:dyDescent="0.3">
      <c r="A61" s="72">
        <v>60</v>
      </c>
      <c r="B61" s="65"/>
      <c r="C61" s="66" t="s">
        <v>565</v>
      </c>
      <c r="D61" s="101" t="str">
        <f>MID(TabSpecificationWork_1[[#This Row],[NUM PROJECT]], SEARCH("-N",TabSpecificationWork_1[[#This Row],[NUM PROJECT]])+2, SEARCH("-",TabSpecificationWork_1[[#This Row],[NUM PROJECT]],SEARCH("-",TabSpecificationWork_1[[#This Row],[NUM PROJECT]])+1) - (SEARCH("-N",TabSpecificationWork_1[[#This Row],[NUM PROJECT]])+2))</f>
        <v>3</v>
      </c>
      <c r="E61" s="101">
        <v>2</v>
      </c>
      <c r="F61" s="77" t="s">
        <v>557</v>
      </c>
      <c r="G61" s="65">
        <v>501</v>
      </c>
      <c r="H61" s="65">
        <v>3</v>
      </c>
      <c r="I61"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3.501.3</v>
      </c>
      <c r="J61" s="69" t="s">
        <v>29</v>
      </c>
      <c r="K61" s="106" t="str">
        <f>LOWER(CONCATENATE(TabSpecificationWork_1[[#This Row],[NUM PROJECT]],"-","ver_",TabSpecificationWork_1[[#This Row],[VER COLLECTION]],"-","set_",TabSpecificationWork_1[[#This Row],[NUM FULL SET]],"-",TabSpecificationWork_1[[#This Row],[isSHIPPED]]))</f>
        <v>8/2026-n3-горизонт-ver_2-set_3.501.3-true</v>
      </c>
      <c r="L61" s="78" t="s">
        <v>764</v>
      </c>
      <c r="M61" s="77" t="s">
        <v>566</v>
      </c>
      <c r="N61" s="72" t="s">
        <v>268</v>
      </c>
      <c r="O61" s="72" t="s">
        <v>268</v>
      </c>
      <c r="P61" s="72" t="s">
        <v>550</v>
      </c>
      <c r="Q61" s="72" t="s">
        <v>550</v>
      </c>
      <c r="R61" s="72" t="s">
        <v>33</v>
      </c>
      <c r="S61" s="65">
        <v>1</v>
      </c>
      <c r="T61" s="65">
        <v>1</v>
      </c>
      <c r="U61" s="101">
        <f>TabSpecificationWork_1[[#This Row],[QUANTITY SET]]*TabSpecificationWork_1[[#This Row],[QUANTITY SHIPPED SET]]</f>
        <v>1</v>
      </c>
      <c r="V61" s="65">
        <v>1</v>
      </c>
      <c r="W61" s="80">
        <v>20000</v>
      </c>
      <c r="X61" s="109">
        <v>0</v>
      </c>
      <c r="Y61" s="108">
        <f>TabSpecificationWork_1[[#This Row],[QUANTITY TOTAL]]*TabSpecificationWork_1[[#This Row],[PRICE UNIT $PURCHASE]]</f>
        <v>20000</v>
      </c>
      <c r="Z61" s="108">
        <f>TabSpecificationWork_1[[#This Row],[VAT ADD PRICE $PURCHASE]]*TabSpecificationWork_1[[#This Row],[QUANTITY TOTAL]]+TabSpecificationWork_1[[#This Row],[COST PRICE $PURCHASE]]</f>
        <v>20000</v>
      </c>
      <c r="AA61" s="75"/>
      <c r="AB61" s="67" t="s">
        <v>758</v>
      </c>
      <c r="AC61" s="67"/>
      <c r="AD61" s="67"/>
    </row>
    <row r="62" spans="1:30" ht="158.4" x14ac:dyDescent="0.3">
      <c r="A62" s="72">
        <v>61</v>
      </c>
      <c r="B62" s="65"/>
      <c r="C62" s="66" t="s">
        <v>565</v>
      </c>
      <c r="D62" s="101" t="str">
        <f>MID(TabSpecificationWork_1[[#This Row],[NUM PROJECT]], SEARCH("-N",TabSpecificationWork_1[[#This Row],[NUM PROJECT]])+2, SEARCH("-",TabSpecificationWork_1[[#This Row],[NUM PROJECT]],SEARCH("-",TabSpecificationWork_1[[#This Row],[NUM PROJECT]])+1) - (SEARCH("-N",TabSpecificationWork_1[[#This Row],[NUM PROJECT]])+2))</f>
        <v>3</v>
      </c>
      <c r="E62" s="101">
        <v>2</v>
      </c>
      <c r="F62" s="77" t="s">
        <v>561</v>
      </c>
      <c r="G62" s="100">
        <v>502</v>
      </c>
      <c r="H62" s="65">
        <v>1</v>
      </c>
      <c r="I62"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3.502.1</v>
      </c>
      <c r="J62" s="69" t="s">
        <v>29</v>
      </c>
      <c r="K62" s="106" t="str">
        <f>LOWER(CONCATENATE(TabSpecificationWork_1[[#This Row],[NUM PROJECT]],"-","ver_",TabSpecificationWork_1[[#This Row],[VER COLLECTION]],"-","set_",TabSpecificationWork_1[[#This Row],[NUM FULL SET]],"-",TabSpecificationWork_1[[#This Row],[isSHIPPED]]))</f>
        <v>8/2026-n3-горизонт-ver_2-set_3.502.1-true</v>
      </c>
      <c r="L62" s="78" t="s">
        <v>765</v>
      </c>
      <c r="M62" s="77" t="s">
        <v>563</v>
      </c>
      <c r="N62" s="72" t="s">
        <v>268</v>
      </c>
      <c r="O62" s="72" t="s">
        <v>268</v>
      </c>
      <c r="P62" s="72" t="s">
        <v>550</v>
      </c>
      <c r="Q62" s="72" t="s">
        <v>550</v>
      </c>
      <c r="R62" s="72" t="s">
        <v>33</v>
      </c>
      <c r="S62" s="65">
        <v>1</v>
      </c>
      <c r="T62" s="65">
        <v>1</v>
      </c>
      <c r="U62" s="101">
        <f>TabSpecificationWork_1[[#This Row],[QUANTITY SET]]*TabSpecificationWork_1[[#This Row],[QUANTITY SHIPPED SET]]</f>
        <v>1</v>
      </c>
      <c r="V62" s="65">
        <v>1</v>
      </c>
      <c r="W62" s="80">
        <v>800000</v>
      </c>
      <c r="X62" s="109">
        <v>0</v>
      </c>
      <c r="Y62" s="108">
        <f>TabSpecificationWork_1[[#This Row],[QUANTITY TOTAL]]*TabSpecificationWork_1[[#This Row],[PRICE UNIT $PURCHASE]]</f>
        <v>800000</v>
      </c>
      <c r="Z62" s="108">
        <f>TabSpecificationWork_1[[#This Row],[VAT ADD PRICE $PURCHASE]]*TabSpecificationWork_1[[#This Row],[QUANTITY TOTAL]]+TabSpecificationWork_1[[#This Row],[COST PRICE $PURCHASE]]</f>
        <v>800000</v>
      </c>
      <c r="AA62" s="75"/>
      <c r="AB62" s="67" t="s">
        <v>759</v>
      </c>
      <c r="AC62" s="67"/>
      <c r="AD62" s="67"/>
    </row>
    <row r="63" spans="1:30" ht="144" x14ac:dyDescent="0.3">
      <c r="A63" s="72">
        <v>62</v>
      </c>
      <c r="B63" s="65"/>
      <c r="C63" s="66" t="s">
        <v>565</v>
      </c>
      <c r="D63" s="101" t="str">
        <f>MID(TabSpecificationWork_1[[#This Row],[NUM PROJECT]], SEARCH("-N",TabSpecificationWork_1[[#This Row],[NUM PROJECT]])+2, SEARCH("-",TabSpecificationWork_1[[#This Row],[NUM PROJECT]],SEARCH("-",TabSpecificationWork_1[[#This Row],[NUM PROJECT]])+1) - (SEARCH("-N",TabSpecificationWork_1[[#This Row],[NUM PROJECT]])+2))</f>
        <v>3</v>
      </c>
      <c r="E63" s="101">
        <v>2</v>
      </c>
      <c r="F63" s="77" t="s">
        <v>562</v>
      </c>
      <c r="G63" s="100">
        <v>503</v>
      </c>
      <c r="H63" s="65">
        <v>1</v>
      </c>
      <c r="I63"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3.503.1</v>
      </c>
      <c r="J63" s="69" t="s">
        <v>29</v>
      </c>
      <c r="K63" s="106" t="str">
        <f>LOWER(CONCATENATE(TabSpecificationWork_1[[#This Row],[NUM PROJECT]],"-","ver_",TabSpecificationWork_1[[#This Row],[VER COLLECTION]],"-","set_",TabSpecificationWork_1[[#This Row],[NUM FULL SET]],"-",TabSpecificationWork_1[[#This Row],[isSHIPPED]]))</f>
        <v>8/2026-n3-горизонт-ver_2-set_3.503.1-true</v>
      </c>
      <c r="L63" s="78" t="s">
        <v>766</v>
      </c>
      <c r="M63" s="77" t="s">
        <v>564</v>
      </c>
      <c r="N63" s="72" t="s">
        <v>268</v>
      </c>
      <c r="O63" s="72" t="s">
        <v>268</v>
      </c>
      <c r="P63" s="72" t="s">
        <v>550</v>
      </c>
      <c r="Q63" s="72" t="s">
        <v>550</v>
      </c>
      <c r="R63" s="72" t="s">
        <v>33</v>
      </c>
      <c r="S63" s="65">
        <v>1</v>
      </c>
      <c r="T63" s="65">
        <v>1</v>
      </c>
      <c r="U63" s="101">
        <f>TabSpecificationWork_1[[#This Row],[QUANTITY SET]]*TabSpecificationWork_1[[#This Row],[QUANTITY SHIPPED SET]]</f>
        <v>1</v>
      </c>
      <c r="V63" s="65">
        <v>1</v>
      </c>
      <c r="W63" s="80">
        <v>300000</v>
      </c>
      <c r="X63" s="109">
        <v>0</v>
      </c>
      <c r="Y63" s="108">
        <f>TabSpecificationWork_1[[#This Row],[QUANTITY TOTAL]]*TabSpecificationWork_1[[#This Row],[PRICE UNIT $PURCHASE]]</f>
        <v>300000</v>
      </c>
      <c r="Z63" s="108">
        <f>TabSpecificationWork_1[[#This Row],[VAT ADD PRICE $PURCHASE]]*TabSpecificationWork_1[[#This Row],[QUANTITY TOTAL]]+TabSpecificationWork_1[[#This Row],[COST PRICE $PURCHASE]]</f>
        <v>300000</v>
      </c>
      <c r="AA63" s="75"/>
      <c r="AB63" s="67" t="s">
        <v>760</v>
      </c>
      <c r="AC63" s="67"/>
      <c r="AD63" s="67"/>
    </row>
    <row r="64" spans="1:30" ht="115.2" x14ac:dyDescent="0.3">
      <c r="A64" s="72">
        <v>63</v>
      </c>
      <c r="B64" s="65"/>
      <c r="C64" s="66" t="s">
        <v>565</v>
      </c>
      <c r="D64" s="101" t="str">
        <f>MID(TabSpecificationWork_1[[#This Row],[NUM PROJECT]], SEARCH("-N",TabSpecificationWork_1[[#This Row],[NUM PROJECT]])+2, SEARCH("-",TabSpecificationWork_1[[#This Row],[NUM PROJECT]],SEARCH("-",TabSpecificationWork_1[[#This Row],[NUM PROJECT]])+1) - (SEARCH("-N",TabSpecificationWork_1[[#This Row],[NUM PROJECT]])+2))</f>
        <v>3</v>
      </c>
      <c r="E64" s="101">
        <v>2</v>
      </c>
      <c r="F64" s="67" t="s">
        <v>557</v>
      </c>
      <c r="G64" s="65">
        <v>701</v>
      </c>
      <c r="H64" s="65">
        <v>1</v>
      </c>
      <c r="I64"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3.701.1</v>
      </c>
      <c r="J64" s="69" t="s">
        <v>29</v>
      </c>
      <c r="K64" s="106" t="str">
        <f>LOWER(CONCATENATE(TabSpecificationWork_1[[#This Row],[NUM PROJECT]],"-","ver_",TabSpecificationWork_1[[#This Row],[VER COLLECTION]],"-","set_",TabSpecificationWork_1[[#This Row],[NUM FULL SET]],"-",TabSpecificationWork_1[[#This Row],[isSHIPPED]]))</f>
        <v>8/2026-n3-горизонт-ver_2-set_3.701.1-true</v>
      </c>
      <c r="L64" s="112" t="s">
        <v>753</v>
      </c>
      <c r="M64" s="67" t="s">
        <v>572</v>
      </c>
      <c r="N64" s="72" t="s">
        <v>268</v>
      </c>
      <c r="O64" s="72" t="s">
        <v>268</v>
      </c>
      <c r="P64" s="72" t="s">
        <v>550</v>
      </c>
      <c r="Q64" s="72" t="s">
        <v>550</v>
      </c>
      <c r="R64" s="72" t="s">
        <v>33</v>
      </c>
      <c r="S64" s="65">
        <v>1</v>
      </c>
      <c r="T64" s="65">
        <v>1</v>
      </c>
      <c r="U64" s="101">
        <f>TabSpecificationWork_1[[#This Row],[QUANTITY SET]]*TabSpecificationWork_1[[#This Row],[QUANTITY SHIPPED SET]]</f>
        <v>1</v>
      </c>
      <c r="V64" s="65">
        <v>1</v>
      </c>
      <c r="W64" s="73">
        <v>100000</v>
      </c>
      <c r="X64" s="109">
        <v>0</v>
      </c>
      <c r="Y64" s="108">
        <f>TabSpecificationWork_1[[#This Row],[QUANTITY TOTAL]]*TabSpecificationWork_1[[#This Row],[PRICE UNIT $PURCHASE]]</f>
        <v>100000</v>
      </c>
      <c r="Z64" s="108">
        <f>TabSpecificationWork_1[[#This Row],[VAT ADD PRICE $PURCHASE]]*TabSpecificationWork_1[[#This Row],[QUANTITY TOTAL]]+TabSpecificationWork_1[[#This Row],[COST PRICE $PURCHASE]]</f>
        <v>100000</v>
      </c>
      <c r="AA64" s="110"/>
      <c r="AB64" s="67" t="s">
        <v>754</v>
      </c>
      <c r="AC64" s="67"/>
      <c r="AD64" s="67"/>
    </row>
    <row r="65" spans="1:30" ht="115.2" x14ac:dyDescent="0.3">
      <c r="A65" s="72">
        <v>64</v>
      </c>
      <c r="B65" s="65"/>
      <c r="C65" s="66" t="s">
        <v>565</v>
      </c>
      <c r="D65" s="101" t="str">
        <f>MID(TabSpecificationWork_1[[#This Row],[NUM PROJECT]], SEARCH("-N",TabSpecificationWork_1[[#This Row],[NUM PROJECT]])+2, SEARCH("-",TabSpecificationWork_1[[#This Row],[NUM PROJECT]],SEARCH("-",TabSpecificationWork_1[[#This Row],[NUM PROJECT]])+1) - (SEARCH("-N",TabSpecificationWork_1[[#This Row],[NUM PROJECT]])+2))</f>
        <v>3</v>
      </c>
      <c r="E65" s="101">
        <v>2</v>
      </c>
      <c r="F65" s="67" t="s">
        <v>560</v>
      </c>
      <c r="G65" s="65">
        <v>701</v>
      </c>
      <c r="H65" s="65">
        <v>2</v>
      </c>
      <c r="I65"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3.701.2</v>
      </c>
      <c r="J65" s="69" t="s">
        <v>29</v>
      </c>
      <c r="K65" s="106" t="str">
        <f>LOWER(CONCATENATE(TabSpecificationWork_1[[#This Row],[NUM PROJECT]],"-","ver_",TabSpecificationWork_1[[#This Row],[VER COLLECTION]],"-","set_",TabSpecificationWork_1[[#This Row],[NUM FULL SET]],"-",TabSpecificationWork_1[[#This Row],[isSHIPPED]]))</f>
        <v>8/2026-n3-горизонт-ver_2-set_3.701.2-true</v>
      </c>
      <c r="L65" s="112" t="s">
        <v>748</v>
      </c>
      <c r="M65" s="67" t="s">
        <v>573</v>
      </c>
      <c r="N65" s="72" t="s">
        <v>268</v>
      </c>
      <c r="O65" s="72" t="s">
        <v>268</v>
      </c>
      <c r="P65" s="72" t="s">
        <v>550</v>
      </c>
      <c r="Q65" s="72" t="s">
        <v>550</v>
      </c>
      <c r="R65" s="72" t="s">
        <v>33</v>
      </c>
      <c r="S65" s="65">
        <v>1</v>
      </c>
      <c r="T65" s="65">
        <v>1</v>
      </c>
      <c r="U65" s="101">
        <f>TabSpecificationWork_1[[#This Row],[QUANTITY SET]]*TabSpecificationWork_1[[#This Row],[QUANTITY SHIPPED SET]]</f>
        <v>1</v>
      </c>
      <c r="V65" s="65">
        <v>1</v>
      </c>
      <c r="W65" s="73">
        <v>20000</v>
      </c>
      <c r="X65" s="109">
        <v>0</v>
      </c>
      <c r="Y65" s="108">
        <f>TabSpecificationWork_1[[#This Row],[QUANTITY TOTAL]]*TabSpecificationWork_1[[#This Row],[PRICE UNIT $PURCHASE]]</f>
        <v>20000</v>
      </c>
      <c r="Z65" s="108">
        <f>TabSpecificationWork_1[[#This Row],[VAT ADD PRICE $PURCHASE]]*TabSpecificationWork_1[[#This Row],[QUANTITY TOTAL]]+TabSpecificationWork_1[[#This Row],[COST PRICE $PURCHASE]]</f>
        <v>20000</v>
      </c>
      <c r="AA65" s="110"/>
      <c r="AB65" s="67" t="s">
        <v>754</v>
      </c>
      <c r="AC65" s="67"/>
      <c r="AD65" s="67"/>
    </row>
    <row r="66" spans="1:30" ht="86.4" x14ac:dyDescent="0.3">
      <c r="A66" s="72">
        <v>65</v>
      </c>
      <c r="B66" s="65"/>
      <c r="C66" s="66" t="s">
        <v>565</v>
      </c>
      <c r="D66" s="101" t="str">
        <f>MID(TabSpecificationWork_1[[#This Row],[NUM PROJECT]], SEARCH("-N",TabSpecificationWork_1[[#This Row],[NUM PROJECT]])+2, SEARCH("-",TabSpecificationWork_1[[#This Row],[NUM PROJECT]],SEARCH("-",TabSpecificationWork_1[[#This Row],[NUM PROJECT]])+1) - (SEARCH("-N",TabSpecificationWork_1[[#This Row],[NUM PROJECT]])+2))</f>
        <v>3</v>
      </c>
      <c r="E66" s="101">
        <v>2</v>
      </c>
      <c r="F66" s="67" t="s">
        <v>557</v>
      </c>
      <c r="G66" s="65">
        <v>701</v>
      </c>
      <c r="H66" s="65">
        <v>3</v>
      </c>
      <c r="I66"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3.701.3</v>
      </c>
      <c r="J66" s="69" t="s">
        <v>29</v>
      </c>
      <c r="K66" s="106" t="str">
        <f>LOWER(CONCATENATE(TabSpecificationWork_1[[#This Row],[NUM PROJECT]],"-","ver_",TabSpecificationWork_1[[#This Row],[VER COLLECTION]],"-","set_",TabSpecificationWork_1[[#This Row],[NUM FULL SET]],"-",TabSpecificationWork_1[[#This Row],[isSHIPPED]]))</f>
        <v>8/2026-n3-горизонт-ver_2-set_3.701.3-true</v>
      </c>
      <c r="L66" s="112" t="s">
        <v>749</v>
      </c>
      <c r="M66" s="67" t="s">
        <v>566</v>
      </c>
      <c r="N66" s="72" t="s">
        <v>268</v>
      </c>
      <c r="O66" s="72" t="s">
        <v>268</v>
      </c>
      <c r="P66" s="72" t="s">
        <v>550</v>
      </c>
      <c r="Q66" s="72" t="s">
        <v>550</v>
      </c>
      <c r="R66" s="72" t="s">
        <v>33</v>
      </c>
      <c r="S66" s="65">
        <v>1</v>
      </c>
      <c r="T66" s="65">
        <v>1</v>
      </c>
      <c r="U66" s="101">
        <f>TabSpecificationWork_1[[#This Row],[QUANTITY SET]]*TabSpecificationWork_1[[#This Row],[QUANTITY SHIPPED SET]]</f>
        <v>1</v>
      </c>
      <c r="V66" s="65">
        <v>1</v>
      </c>
      <c r="W66" s="73">
        <v>20000</v>
      </c>
      <c r="X66" s="109">
        <v>0</v>
      </c>
      <c r="Y66" s="108">
        <f>TabSpecificationWork_1[[#This Row],[QUANTITY TOTAL]]*TabSpecificationWork_1[[#This Row],[PRICE UNIT $PURCHASE]]</f>
        <v>20000</v>
      </c>
      <c r="Z66" s="108">
        <f>TabSpecificationWork_1[[#This Row],[VAT ADD PRICE $PURCHASE]]*TabSpecificationWork_1[[#This Row],[QUANTITY TOTAL]]+TabSpecificationWork_1[[#This Row],[COST PRICE $PURCHASE]]</f>
        <v>20000</v>
      </c>
      <c r="AA66" s="110"/>
      <c r="AB66" s="67" t="s">
        <v>754</v>
      </c>
      <c r="AC66" s="67"/>
      <c r="AD66" s="67"/>
    </row>
    <row r="67" spans="1:30" ht="158.4" x14ac:dyDescent="0.3">
      <c r="A67" s="72">
        <v>66</v>
      </c>
      <c r="B67" s="65"/>
      <c r="C67" s="66" t="s">
        <v>565</v>
      </c>
      <c r="D67" s="101" t="str">
        <f>MID(TabSpecificationWork_1[[#This Row],[NUM PROJECT]], SEARCH("-N",TabSpecificationWork_1[[#This Row],[NUM PROJECT]])+2, SEARCH("-",TabSpecificationWork_1[[#This Row],[NUM PROJECT]],SEARCH("-",TabSpecificationWork_1[[#This Row],[NUM PROJECT]])+1) - (SEARCH("-N",TabSpecificationWork_1[[#This Row],[NUM PROJECT]])+2))</f>
        <v>3</v>
      </c>
      <c r="E67" s="101">
        <v>2</v>
      </c>
      <c r="F67" s="67" t="s">
        <v>561</v>
      </c>
      <c r="G67" s="65">
        <v>702</v>
      </c>
      <c r="H67" s="65">
        <v>1</v>
      </c>
      <c r="I67"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3.702.1</v>
      </c>
      <c r="J67" s="69" t="s">
        <v>29</v>
      </c>
      <c r="K67" s="106" t="str">
        <f>LOWER(CONCATENATE(TabSpecificationWork_1[[#This Row],[NUM PROJECT]],"-","ver_",TabSpecificationWork_1[[#This Row],[VER COLLECTION]],"-","set_",TabSpecificationWork_1[[#This Row],[NUM FULL SET]],"-",TabSpecificationWork_1[[#This Row],[isSHIPPED]]))</f>
        <v>8/2026-n3-горизонт-ver_2-set_3.702.1-true</v>
      </c>
      <c r="L67" s="112" t="s">
        <v>750</v>
      </c>
      <c r="M67" s="67" t="s">
        <v>563</v>
      </c>
      <c r="N67" s="72" t="s">
        <v>268</v>
      </c>
      <c r="O67" s="72" t="s">
        <v>268</v>
      </c>
      <c r="P67" s="72" t="s">
        <v>550</v>
      </c>
      <c r="Q67" s="72" t="s">
        <v>550</v>
      </c>
      <c r="R67" s="72" t="s">
        <v>33</v>
      </c>
      <c r="S67" s="65">
        <v>1</v>
      </c>
      <c r="T67" s="65">
        <v>1</v>
      </c>
      <c r="U67" s="101">
        <f>TabSpecificationWork_1[[#This Row],[QUANTITY SET]]*TabSpecificationWork_1[[#This Row],[QUANTITY SHIPPED SET]]</f>
        <v>1</v>
      </c>
      <c r="V67" s="65">
        <v>1</v>
      </c>
      <c r="W67" s="73">
        <v>800000</v>
      </c>
      <c r="X67" s="109">
        <v>0</v>
      </c>
      <c r="Y67" s="108">
        <f>TabSpecificationWork_1[[#This Row],[QUANTITY TOTAL]]*TabSpecificationWork_1[[#This Row],[PRICE UNIT $PURCHASE]]</f>
        <v>800000</v>
      </c>
      <c r="Z67" s="108">
        <f>TabSpecificationWork_1[[#This Row],[VAT ADD PRICE $PURCHASE]]*TabSpecificationWork_1[[#This Row],[QUANTITY TOTAL]]+TabSpecificationWork_1[[#This Row],[COST PRICE $PURCHASE]]</f>
        <v>800000</v>
      </c>
      <c r="AA67" s="110"/>
      <c r="AB67" s="67" t="s">
        <v>755</v>
      </c>
      <c r="AC67" s="67"/>
      <c r="AD67" s="67"/>
    </row>
    <row r="68" spans="1:30" ht="144" x14ac:dyDescent="0.3">
      <c r="A68" s="72">
        <v>67</v>
      </c>
      <c r="B68" s="65"/>
      <c r="C68" s="102" t="s">
        <v>565</v>
      </c>
      <c r="D68" s="101" t="str">
        <f>MID(TabSpecificationWork_1[[#This Row],[NUM PROJECT]], SEARCH("-N",TabSpecificationWork_1[[#This Row],[NUM PROJECT]])+2, SEARCH("-",TabSpecificationWork_1[[#This Row],[NUM PROJECT]],SEARCH("-",TabSpecificationWork_1[[#This Row],[NUM PROJECT]])+1) - (SEARCH("-N",TabSpecificationWork_1[[#This Row],[NUM PROJECT]])+2))</f>
        <v>3</v>
      </c>
      <c r="E68" s="101">
        <v>2</v>
      </c>
      <c r="F68" s="103" t="s">
        <v>562</v>
      </c>
      <c r="G68" s="101">
        <v>703</v>
      </c>
      <c r="H68" s="101">
        <v>1</v>
      </c>
      <c r="I68"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3.703.1</v>
      </c>
      <c r="J68" s="105" t="s">
        <v>29</v>
      </c>
      <c r="K68" s="106" t="str">
        <f>LOWER(CONCATENATE(TabSpecificationWork_1[[#This Row],[NUM PROJECT]],"-","ver_",TabSpecificationWork_1[[#This Row],[VER COLLECTION]],"-","set_",TabSpecificationWork_1[[#This Row],[NUM FULL SET]],"-",TabSpecificationWork_1[[#This Row],[isSHIPPED]]))</f>
        <v>8/2026-n3-горизонт-ver_2-set_3.703.1-true</v>
      </c>
      <c r="L68" s="113" t="s">
        <v>751</v>
      </c>
      <c r="M68" s="103" t="s">
        <v>564</v>
      </c>
      <c r="N68" s="107" t="s">
        <v>268</v>
      </c>
      <c r="O68" s="107" t="s">
        <v>268</v>
      </c>
      <c r="P68" s="72" t="s">
        <v>550</v>
      </c>
      <c r="Q68" s="72" t="s">
        <v>550</v>
      </c>
      <c r="R68" s="107" t="s">
        <v>33</v>
      </c>
      <c r="S68" s="101">
        <v>1</v>
      </c>
      <c r="T68" s="101">
        <v>1</v>
      </c>
      <c r="U68" s="101">
        <f>TabSpecificationWork_1[[#This Row],[QUANTITY SET]]*TabSpecificationWork_1[[#This Row],[QUANTITY SHIPPED SET]]</f>
        <v>1</v>
      </c>
      <c r="V68" s="101">
        <v>1</v>
      </c>
      <c r="W68" s="108">
        <v>300000</v>
      </c>
      <c r="X68" s="109">
        <v>0</v>
      </c>
      <c r="Y68" s="108">
        <f>TabSpecificationWork_1[[#This Row],[QUANTITY TOTAL]]*TabSpecificationWork_1[[#This Row],[PRICE UNIT $PURCHASE]]</f>
        <v>300000</v>
      </c>
      <c r="Z68" s="108">
        <f>TabSpecificationWork_1[[#This Row],[VAT ADD PRICE $PURCHASE]]*TabSpecificationWork_1[[#This Row],[QUANTITY TOTAL]]+TabSpecificationWork_1[[#This Row],[COST PRICE $PURCHASE]]</f>
        <v>300000</v>
      </c>
      <c r="AA68" s="111"/>
      <c r="AB68" s="103" t="s">
        <v>756</v>
      </c>
      <c r="AC68" s="103"/>
      <c r="AD68" s="103"/>
    </row>
    <row r="69" spans="1:30" ht="100.8" x14ac:dyDescent="0.3">
      <c r="A69" s="72">
        <v>68</v>
      </c>
      <c r="B69" s="65"/>
      <c r="C69" s="102" t="s">
        <v>565</v>
      </c>
      <c r="D69" s="101" t="str">
        <f>MID(TabSpecificationWork_1[[#This Row],[NUM PROJECT]], SEARCH("-N",TabSpecificationWork_1[[#This Row],[NUM PROJECT]])+2, SEARCH("-",TabSpecificationWork_1[[#This Row],[NUM PROJECT]],SEARCH("-",TabSpecificationWork_1[[#This Row],[NUM PROJECT]])+1) - (SEARCH("-N",TabSpecificationWork_1[[#This Row],[NUM PROJECT]])+2))</f>
        <v>3</v>
      </c>
      <c r="E69" s="101">
        <v>2</v>
      </c>
      <c r="F69" s="103" t="s">
        <v>689</v>
      </c>
      <c r="G69" s="101">
        <v>504</v>
      </c>
      <c r="H69" s="101">
        <v>1</v>
      </c>
      <c r="I69"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3.504.1</v>
      </c>
      <c r="J69" s="105" t="s">
        <v>29</v>
      </c>
      <c r="K69" s="106" t="str">
        <f>LOWER(CONCATENATE(TabSpecificationWork_1[[#This Row],[NUM PROJECT]],"-","ver_",TabSpecificationWork_1[[#This Row],[VER COLLECTION]],"-","set_",TabSpecificationWork_1[[#This Row],[NUM FULL SET]],"-",TabSpecificationWork_1[[#This Row],[isSHIPPED]]))</f>
        <v>8/2026-n3-горизонт-ver_2-set_3.504.1-true</v>
      </c>
      <c r="L69" s="114" t="s">
        <v>767</v>
      </c>
      <c r="M69" s="103" t="s">
        <v>688</v>
      </c>
      <c r="N69" s="107" t="s">
        <v>268</v>
      </c>
      <c r="O69" s="107" t="s">
        <v>268</v>
      </c>
      <c r="P69" s="107" t="s">
        <v>550</v>
      </c>
      <c r="Q69" s="107" t="s">
        <v>550</v>
      </c>
      <c r="R69" s="107" t="s">
        <v>33</v>
      </c>
      <c r="S69" s="101">
        <v>1</v>
      </c>
      <c r="T69" s="101">
        <v>1</v>
      </c>
      <c r="U69" s="101">
        <f>TabSpecificationWork_1[[#This Row],[QUANTITY SET]]*TabSpecificationWork_1[[#This Row],[QUANTITY SHIPPED SET]]</f>
        <v>1</v>
      </c>
      <c r="V69" s="101">
        <v>1</v>
      </c>
      <c r="W69" s="108">
        <v>33300</v>
      </c>
      <c r="X69" s="109">
        <v>0</v>
      </c>
      <c r="Y69" s="108">
        <f>TabSpecificationWork_1[[#This Row],[QUANTITY TOTAL]]*TabSpecificationWork_1[[#This Row],[PRICE UNIT $PURCHASE]]</f>
        <v>33300</v>
      </c>
      <c r="Z69" s="108">
        <f>TabSpecificationWork_1[[#This Row],[VAT ADD PRICE $PURCHASE]]*TabSpecificationWork_1[[#This Row],[QUANTITY TOTAL]]+TabSpecificationWork_1[[#This Row],[COST PRICE $PURCHASE]]</f>
        <v>33300</v>
      </c>
      <c r="AA69" s="115"/>
      <c r="AB69" s="103" t="s">
        <v>761</v>
      </c>
      <c r="AC69" s="103"/>
      <c r="AD69" s="103"/>
    </row>
    <row r="70" spans="1:30" ht="100.8" x14ac:dyDescent="0.3">
      <c r="A70" s="72">
        <v>69</v>
      </c>
      <c r="B70" s="65"/>
      <c r="C70" s="102" t="s">
        <v>565</v>
      </c>
      <c r="D70" s="101" t="str">
        <f>MID(TabSpecificationWork_1[[#This Row],[NUM PROJECT]], SEARCH("-N",TabSpecificationWork_1[[#This Row],[NUM PROJECT]])+2, SEARCH("-",TabSpecificationWork_1[[#This Row],[NUM PROJECT]],SEARCH("-",TabSpecificationWork_1[[#This Row],[NUM PROJECT]])+1) - (SEARCH("-N",TabSpecificationWork_1[[#This Row],[NUM PROJECT]])+2))</f>
        <v>3</v>
      </c>
      <c r="E70" s="101">
        <v>2</v>
      </c>
      <c r="F70" s="103" t="s">
        <v>689</v>
      </c>
      <c r="G70" s="101">
        <v>704</v>
      </c>
      <c r="H70" s="101">
        <v>1</v>
      </c>
      <c r="I70" s="104" t="str">
        <f>CONCATENATE(MID(TabSpecificationWork_1[[#This Row],[NUM PROJECT]], SEARCH("-N",TabSpecificationWork_1[[#This Row],[NUM PROJECT]])+2, SEARCH("-",TabSpecificationWork_1[[#This Row],[NUM PROJECT]],SEARCH("-",TabSpecificationWork_1[[#This Row],[NUM PROJECT]])+1) - (SEARCH("-N",TabSpecificationWork_1[[#This Row],[NUM PROJECT]])+2)),
".",
TabSpecificationWork_1[[#This Row],[IDset]],
".",
TabSpecificationWork_1[[#This Row],[NUM SEQUENCE SET]])</f>
        <v>3.704.1</v>
      </c>
      <c r="J70" s="105" t="s">
        <v>29</v>
      </c>
      <c r="K70" s="106" t="str">
        <f>LOWER(CONCATENATE(TabSpecificationWork_1[[#This Row],[NUM PROJECT]],"-","ver_",TabSpecificationWork_1[[#This Row],[VER COLLECTION]],"-","set_",TabSpecificationWork_1[[#This Row],[NUM FULL SET]],"-",TabSpecificationWork_1[[#This Row],[isSHIPPED]]))</f>
        <v>8/2026-n3-горизонт-ver_2-set_3.704.1-true</v>
      </c>
      <c r="L70" s="114" t="s">
        <v>752</v>
      </c>
      <c r="M70" s="103" t="s">
        <v>688</v>
      </c>
      <c r="N70" s="107" t="s">
        <v>268</v>
      </c>
      <c r="O70" s="107" t="s">
        <v>268</v>
      </c>
      <c r="P70" s="107" t="s">
        <v>550</v>
      </c>
      <c r="Q70" s="107" t="s">
        <v>550</v>
      </c>
      <c r="R70" s="107" t="s">
        <v>33</v>
      </c>
      <c r="S70" s="101">
        <v>1</v>
      </c>
      <c r="T70" s="101">
        <v>1</v>
      </c>
      <c r="U70" s="101">
        <f>TabSpecificationWork_1[[#This Row],[QUANTITY SET]]*TabSpecificationWork_1[[#This Row],[QUANTITY SHIPPED SET]]</f>
        <v>1</v>
      </c>
      <c r="V70" s="101">
        <v>1</v>
      </c>
      <c r="W70" s="108">
        <v>33300</v>
      </c>
      <c r="X70" s="109">
        <v>0</v>
      </c>
      <c r="Y70" s="108">
        <f>TabSpecificationWork_1[[#This Row],[QUANTITY TOTAL]]*TabSpecificationWork_1[[#This Row],[PRICE UNIT $PURCHASE]]</f>
        <v>33300</v>
      </c>
      <c r="Z70" s="108">
        <f>TabSpecificationWork_1[[#This Row],[VAT ADD PRICE $PURCHASE]]*TabSpecificationWork_1[[#This Row],[QUANTITY TOTAL]]+TabSpecificationWork_1[[#This Row],[COST PRICE $PURCHASE]]</f>
        <v>33300</v>
      </c>
      <c r="AA70" s="115"/>
      <c r="AB70" s="103" t="s">
        <v>757</v>
      </c>
      <c r="AC70" s="103"/>
      <c r="AD70" s="103"/>
    </row>
  </sheetData>
  <phoneticPr fontId="19" type="noConversion"/>
  <conditionalFormatting sqref="C2:C70">
    <cfRule type="duplicateValues" dxfId="59" priority="75"/>
  </conditionalFormatting>
  <conditionalFormatting sqref="I2:I70">
    <cfRule type="duplicateValues" dxfId="58" priority="77"/>
  </conditionalFormatting>
  <conditionalFormatting sqref="K2:K70">
    <cfRule type="notContainsBlanks" dxfId="57" priority="79">
      <formula>LEN(TRIM(K2))&gt;0</formula>
    </cfRule>
    <cfRule type="duplicateValues" priority="80"/>
  </conditionalFormatting>
  <conditionalFormatting sqref="Y2:Z70">
    <cfRule type="notContainsBlanks" dxfId="56" priority="2">
      <formula>LEN(TRIM(Y2))&gt;0</formula>
    </cfRule>
  </conditionalFormatting>
  <dataValidations count="10">
    <dataValidation type="list" allowBlank="1" showInputMessage="1" showErrorMessage="1" sqref="O10:O57 N2:N58 N59:O70" xr:uid="{72549B2C-B762-41CA-A115-84700443249E}">
      <formula1>INDIRECT("TabVendorAndBrand[BRAND]")</formula1>
    </dataValidation>
    <dataValidation type="list" allowBlank="1" showInputMessage="1" showErrorMessage="1" sqref="O2:O9 O58" xr:uid="{1BDC6677-249E-4C18-9550-AA0F682C6511}">
      <formula1>INDIRECT("TabHandbookSupplier[COMPANY_LABEL]")</formula1>
    </dataValidation>
    <dataValidation showInputMessage="1" showErrorMessage="1" sqref="M11:M50 M59:M68" xr:uid="{8AF008BC-4B48-4DB4-92AC-434838A8D4B7}"/>
    <dataValidation type="decimal" operator="greaterThanOrEqual" showInputMessage="1" showErrorMessage="1" sqref="W12:W14 W17:W19 W22:W24 W27:W29 W32:W34 W37:W39 W42:W44 W47:W49 W60:W62 W65:W67" xr:uid="{726CF820-76EB-4024-890E-8869E8CDA268}">
      <formula1>1</formula1>
    </dataValidation>
    <dataValidation operator="greaterThan" showInputMessage="1" showErrorMessage="1" sqref="W15 W20 W25 W30 W35 W40 W45 W50 W63 W68" xr:uid="{A13669C8-5C7D-4056-8B2D-88E80F375442}"/>
    <dataValidation type="textLength" showInputMessage="1" showErrorMessage="1" sqref="F12:F15 F17:F20 F22:F25 F27:F30 F32:F35 F37:F40 F42:F45 F47:F57 F60:F63 F65:F70" xr:uid="{34164DD5-442B-41CB-899A-BE0118050102}">
      <formula1>5</formula1>
      <formula2>150</formula2>
    </dataValidation>
    <dataValidation type="whole" operator="greaterThan" showInputMessage="1" showErrorMessage="1" sqref="G19:G20 G24:G25 G29:G30 G34:G35 G39:G40 G44:G45 G49:G50 G62:G63 G67:G68" xr:uid="{67C305CD-69A2-49E9-97A9-90AD7851F603}">
      <formula1>0</formula1>
    </dataValidation>
    <dataValidation type="list" showInputMessage="1" showErrorMessage="1" sqref="C2:C70" xr:uid="{672C23D1-CF50-40A7-B8EA-B26A583FFA99}">
      <formula1>INDIRECT("TabHandbookProject[IDprojectfull]")</formula1>
    </dataValidation>
    <dataValidation type="list" showInputMessage="1" showErrorMessage="1" sqref="J2:J70" xr:uid="{9B9D790D-A184-4957-A391-57F2969E43F7}">
      <formula1>"true,false"</formula1>
    </dataValidation>
    <dataValidation type="list" allowBlank="1" showInputMessage="1" showErrorMessage="1" sqref="R2:R70" xr:uid="{24FC0FFE-BD01-4EA0-88A9-3D48E9DBD653}">
      <formula1>INDIRECT("TabHandbookUnit[UNITS]")</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788F-427C-4C8A-973B-3BED45D75508}">
  <dimension ref="A1:W77"/>
  <sheetViews>
    <sheetView topLeftCell="D1" zoomScale="85" zoomScaleNormal="85" workbookViewId="0">
      <pane ySplit="1" topLeftCell="A63" activePane="bottomLeft" state="frozen"/>
      <selection pane="bottomLeft" activeCell="R77" sqref="R77"/>
    </sheetView>
  </sheetViews>
  <sheetFormatPr defaultRowHeight="14.4" x14ac:dyDescent="0.3"/>
  <cols>
    <col min="1" max="1" width="25.109375" style="31" hidden="1" customWidth="1"/>
    <col min="2" max="2" width="11.33203125" style="6" hidden="1" customWidth="1"/>
    <col min="3" max="3" width="11.6640625" style="6" hidden="1" customWidth="1"/>
    <col min="4" max="4" width="25.109375" style="31" customWidth="1"/>
    <col min="5" max="5" width="37" style="15" hidden="1" customWidth="1"/>
    <col min="6" max="6" width="40.77734375" customWidth="1"/>
    <col min="7" max="7" width="15.6640625" customWidth="1"/>
    <col min="8" max="8" width="12.88671875" customWidth="1"/>
    <col min="9" max="9" width="15.33203125" customWidth="1"/>
    <col min="10" max="13" width="12.77734375" customWidth="1"/>
    <col min="14" max="14" width="14.33203125" customWidth="1"/>
    <col min="15" max="18" width="15.6640625" customWidth="1"/>
    <col min="19" max="19" width="15.88671875" customWidth="1"/>
    <col min="20" max="20" width="17.5546875" style="120" bestFit="1" customWidth="1"/>
    <col min="21" max="22" width="17.5546875" bestFit="1" customWidth="1"/>
    <col min="23" max="23" width="35.88671875" customWidth="1"/>
  </cols>
  <sheetData>
    <row r="1" spans="1:23" ht="55.8" customHeight="1" thickBot="1" x14ac:dyDescent="0.35">
      <c r="A1" s="10" t="s">
        <v>5</v>
      </c>
      <c r="B1" s="10" t="s">
        <v>8</v>
      </c>
      <c r="C1" s="10" t="s">
        <v>57</v>
      </c>
      <c r="D1" s="10" t="s">
        <v>11</v>
      </c>
      <c r="E1" s="45" t="s">
        <v>10</v>
      </c>
      <c r="F1" s="11" t="s">
        <v>10</v>
      </c>
      <c r="G1" s="11" t="s">
        <v>58</v>
      </c>
      <c r="H1" s="11" t="s">
        <v>59</v>
      </c>
      <c r="I1" s="12" t="s">
        <v>60</v>
      </c>
      <c r="J1" s="11" t="s">
        <v>61</v>
      </c>
      <c r="K1" s="11" t="s">
        <v>62</v>
      </c>
      <c r="L1" s="11" t="s">
        <v>63</v>
      </c>
      <c r="M1" s="11" t="s">
        <v>471</v>
      </c>
      <c r="N1" s="11" t="s">
        <v>64</v>
      </c>
      <c r="O1" s="11" t="s">
        <v>472</v>
      </c>
      <c r="P1" s="11" t="s">
        <v>473</v>
      </c>
      <c r="Q1" s="11" t="s">
        <v>65</v>
      </c>
      <c r="R1" s="11" t="s">
        <v>474</v>
      </c>
      <c r="S1" s="11" t="s">
        <v>475</v>
      </c>
      <c r="T1" s="121" t="s">
        <v>66</v>
      </c>
      <c r="U1" s="11" t="s">
        <v>67</v>
      </c>
      <c r="V1" s="11" t="s">
        <v>68</v>
      </c>
      <c r="W1" s="11" t="s">
        <v>69</v>
      </c>
    </row>
    <row r="2" spans="1:23" ht="43.2" hidden="1" x14ac:dyDescent="0.3">
      <c r="A2" s="31" t="str" cm="1">
        <f t="array" ref="A2:E70">_xlfn.CHOOSECOLS(TabSpecificationWork_1[],6,9,5,12,11)</f>
        <v>Инжиниринг проектный - КР</v>
      </c>
      <c r="B2" s="6" t="str">
        <v>1.101.1</v>
      </c>
      <c r="C2" s="6">
        <v>1</v>
      </c>
      <c r="D2" s="31" t="str">
        <v>Проектирование модуля размещения электронных компонентов ПТК</v>
      </c>
      <c r="E2" s="15" t="str">
        <v>8/2026-n1-горизонт-ver_1-set_1.101.1-true</v>
      </c>
      <c r="F2" s="85" t="str">
        <f>E2</f>
        <v>8/2026-n1-горизонт-ver_1-set_1.101.1-true</v>
      </c>
      <c r="G2" s="98">
        <v>4.5</v>
      </c>
      <c r="H2" s="86">
        <f>TabSpecificationWork_2[[#This Row],[COEFFICIENT MARKUP]]*TabSpecificationWork_1[[#This Row],[PRICE UNIT $PURCHASE]]</f>
        <v>351000</v>
      </c>
      <c r="I2" s="87">
        <f>TabSpecificationWork_1[[#This Row],[QUANTITY TOTAL]]*TabSpecificationWork_2[[#This Row],[PRICE UNIT $SALE]]</f>
        <v>351000</v>
      </c>
      <c r="J2" s="88">
        <v>0</v>
      </c>
      <c r="K2" s="88">
        <f>(TabSpecificationWork_2[[#This Row],[COST DEAL $SALE]]/100)*TabSpecificationWork_2[[#This Row],[DISCOUNT PERCENT]]</f>
        <v>0</v>
      </c>
      <c r="L2" s="89"/>
      <c r="M2" s="90">
        <f>_xlfn.LET(
    _xlpm.projNum, _xlfn.XLOOKUP(TabSpecificationWork_2[[#This Row],[HASH COLLECTION]], TabSpecificationWork_1[HASH COLLECTION], TabSpecificationWork_1[NUM PROJECT], ""),
    _xlpm.company, UPPER(TRIM(_xlfn.TEXTAFTER(_xlpm.projNum, "-", 2))),
    IF(_xlpm.company="ГОРИЗОНТ", 0.22, 0)
)</f>
        <v>0.22</v>
      </c>
      <c r="N2" s="91">
        <f>TabSpecificationWork_2[[#This Row],[PRICE UNIT $SALE]]</f>
        <v>351000</v>
      </c>
      <c r="O2" s="91">
        <f>TabSpecificationWork_2[[#This Row],[PRICE UNIT $TOTAL]] * TabSpecificationWork_2[[#This Row],[VAT RATE CONTRACTOR $TOTAL]]</f>
        <v>77220</v>
      </c>
      <c r="P2" s="91">
        <f>TabSpecificationWork_2[[#This Row],[PRICE UNIT $TOTAL]] + TabSpecificationWork_2[[#This Row],[VAT ADD PRICE UNIT $TOTAL]]</f>
        <v>428220</v>
      </c>
      <c r="Q2" s="92">
        <f>TabSpecificationWork_2[[#This Row],[COST DEAL $SALE]]-TabSpecificationWork_2[[#This Row],[DISCOUNT MONEY]]</f>
        <v>351000</v>
      </c>
      <c r="R2" s="93">
        <f>TabSpecificationWork_2[[#This Row],[COST $TOTAL]] * TabSpecificationWork_2[[#This Row],[VAT RATE CONTRACTOR $TOTAL]]</f>
        <v>77220</v>
      </c>
      <c r="S2" s="92">
        <f>TabSpecificationWork_2[[#This Row],[COST $TOTAL]] + TabSpecificationWork_2[[#This Row],[COST ADD VAT $TOTAL]]</f>
        <v>428220</v>
      </c>
      <c r="T2" s="94">
        <v>25</v>
      </c>
      <c r="U2" s="95" t="s">
        <v>29</v>
      </c>
      <c r="V2" s="95" t="s">
        <v>35</v>
      </c>
      <c r="W2" s="96"/>
    </row>
    <row r="3" spans="1:23" ht="28.8" hidden="1" x14ac:dyDescent="0.3">
      <c r="A3" s="31" t="str">
        <v>Инжиниринг проектный - КР</v>
      </c>
      <c r="B3" s="6" t="str">
        <v>1.101.2</v>
      </c>
      <c r="C3" s="6">
        <v>1</v>
      </c>
      <c r="D3" s="31" t="str">
        <v>Проектирование узла коммутации сети ~230 В</v>
      </c>
      <c r="E3" s="15" t="str">
        <v>8/2026-n1-горизонт-ver_1-set_1.101.2-true</v>
      </c>
      <c r="F3" s="85" t="str">
        <f t="shared" ref="F3:F15" si="0">E3</f>
        <v>8/2026-n1-горизонт-ver_1-set_1.101.2-true</v>
      </c>
      <c r="G3" s="98">
        <v>2.5</v>
      </c>
      <c r="H3" s="86">
        <f>TabSpecificationWork_2[[#This Row],[COEFFICIENT MARKUP]]*TabSpecificationWork_1[[#This Row],[PRICE UNIT $PURCHASE]]</f>
        <v>62500</v>
      </c>
      <c r="I3" s="86">
        <f>TabSpecificationWork_1[[#This Row],[QUANTITY TOTAL]]*TabSpecificationWork_2[[#This Row],[PRICE UNIT $SALE]]</f>
        <v>62500</v>
      </c>
      <c r="J3" s="88">
        <v>0</v>
      </c>
      <c r="K3" s="88">
        <f>(TabSpecificationWork_2[[#This Row],[COST DEAL $SALE]]/100)*TabSpecificationWork_2[[#This Row],[DISCOUNT PERCENT]]</f>
        <v>0</v>
      </c>
      <c r="L3" s="97"/>
      <c r="M3" s="90">
        <f>_xlfn.LET(
    _xlpm.projNum, _xlfn.XLOOKUP(TabSpecificationWork_2[[#This Row],[HASH COLLECTION]], TabSpecificationWork_1[HASH COLLECTION], TabSpecificationWork_1[NUM PROJECT], ""),
    _xlpm.company, UPPER(TRIM(_xlfn.TEXTAFTER(_xlpm.projNum, "-", 2))),
    IF(_xlpm.company="ГОРИЗОНТ", 0.22, 0)
)</f>
        <v>0.22</v>
      </c>
      <c r="N3" s="91">
        <f>TabSpecificationWork_2[[#This Row],[PRICE UNIT $SALE]]</f>
        <v>62500</v>
      </c>
      <c r="O3" s="91">
        <f>TabSpecificationWork_2[[#This Row],[PRICE UNIT $TOTAL]] * TabSpecificationWork_2[[#This Row],[VAT RATE CONTRACTOR $TOTAL]]</f>
        <v>13750</v>
      </c>
      <c r="P3" s="91">
        <f>TabSpecificationWork_2[[#This Row],[PRICE UNIT $TOTAL]] + TabSpecificationWork_2[[#This Row],[VAT ADD PRICE UNIT $TOTAL]]</f>
        <v>76250</v>
      </c>
      <c r="Q3" s="92">
        <f>TabSpecificationWork_2[[#This Row],[COST DEAL $SALE]]-TabSpecificationWork_2[[#This Row],[DISCOUNT MONEY]]</f>
        <v>62500</v>
      </c>
      <c r="R3" s="93">
        <f>TabSpecificationWork_2[[#This Row],[COST $TOTAL]] * TabSpecificationWork_2[[#This Row],[VAT RATE CONTRACTOR $TOTAL]]</f>
        <v>13750</v>
      </c>
      <c r="S3" s="92">
        <f>TabSpecificationWork_2[[#This Row],[COST $TOTAL]] + TabSpecificationWork_2[[#This Row],[COST ADD VAT $TOTAL]]</f>
        <v>76250</v>
      </c>
      <c r="T3" s="94">
        <v>10</v>
      </c>
      <c r="U3" s="95" t="s">
        <v>29</v>
      </c>
      <c r="V3" s="95" t="s">
        <v>35</v>
      </c>
      <c r="W3" s="96"/>
    </row>
    <row r="4" spans="1:23" ht="72" hidden="1" x14ac:dyDescent="0.3">
      <c r="A4" s="31" t="str">
        <v>Инжиниринг проектный - КР</v>
      </c>
      <c r="B4" s="6" t="str">
        <v>1.101.3</v>
      </c>
      <c r="C4" s="6">
        <v>1</v>
      </c>
      <c r="D4" s="31" t="str">
        <v>Проектирование интегрированного узла крепления LCD дисплея, хаба АСУ ВУ, RFID и QR считывателей</v>
      </c>
      <c r="E4" s="15" t="str">
        <v>8/2026-n1-горизонт-ver_1-set_1.101.3-true</v>
      </c>
      <c r="F4" s="85" t="str">
        <f t="shared" si="0"/>
        <v>8/2026-n1-горизонт-ver_1-set_1.101.3-true</v>
      </c>
      <c r="G4" s="98">
        <v>7.1</v>
      </c>
      <c r="H4" s="86">
        <f>TabSpecificationWork_2[[#This Row],[COEFFICIENT MARKUP]]*TabSpecificationWork_1[[#This Row],[PRICE UNIT $PURCHASE]]</f>
        <v>326600</v>
      </c>
      <c r="I4" s="86">
        <f>TabSpecificationWork_1[[#This Row],[QUANTITY TOTAL]]*TabSpecificationWork_2[[#This Row],[PRICE UNIT $SALE]]</f>
        <v>326600</v>
      </c>
      <c r="J4" s="88">
        <v>0</v>
      </c>
      <c r="K4" s="88">
        <f>(TabSpecificationWork_2[[#This Row],[COST DEAL $SALE]]/100)*TabSpecificationWork_2[[#This Row],[DISCOUNT PERCENT]]</f>
        <v>0</v>
      </c>
      <c r="L4" s="97"/>
      <c r="M4" s="90">
        <f>_xlfn.LET(
    _xlpm.projNum, _xlfn.XLOOKUP(TabSpecificationWork_2[[#This Row],[HASH COLLECTION]], TabSpecificationWork_1[HASH COLLECTION], TabSpecificationWork_1[NUM PROJECT], ""),
    _xlpm.company, UPPER(TRIM(_xlfn.TEXTAFTER(_xlpm.projNum, "-", 2))),
    IF(_xlpm.company="ГОРИЗОНТ", 0.22, 0)
)</f>
        <v>0.22</v>
      </c>
      <c r="N4" s="91">
        <f>TabSpecificationWork_2[[#This Row],[PRICE UNIT $SALE]]</f>
        <v>326600</v>
      </c>
      <c r="O4" s="91">
        <f>TabSpecificationWork_2[[#This Row],[PRICE UNIT $TOTAL]] * TabSpecificationWork_2[[#This Row],[VAT RATE CONTRACTOR $TOTAL]]</f>
        <v>71852</v>
      </c>
      <c r="P4" s="91">
        <f>TabSpecificationWork_2[[#This Row],[PRICE UNIT $TOTAL]] + TabSpecificationWork_2[[#This Row],[VAT ADD PRICE UNIT $TOTAL]]</f>
        <v>398452</v>
      </c>
      <c r="Q4" s="92">
        <f>TabSpecificationWork_2[[#This Row],[COST DEAL $SALE]]-TabSpecificationWork_2[[#This Row],[DISCOUNT MONEY]]</f>
        <v>326600</v>
      </c>
      <c r="R4" s="93">
        <f>TabSpecificationWork_2[[#This Row],[COST $TOTAL]] * TabSpecificationWork_2[[#This Row],[VAT RATE CONTRACTOR $TOTAL]]</f>
        <v>71852</v>
      </c>
      <c r="S4" s="92">
        <f>TabSpecificationWork_2[[#This Row],[COST $TOTAL]] + TabSpecificationWork_2[[#This Row],[COST ADD VAT $TOTAL]]</f>
        <v>398452</v>
      </c>
      <c r="T4" s="94">
        <v>20</v>
      </c>
      <c r="U4" s="95" t="s">
        <v>29</v>
      </c>
      <c r="V4" s="95" t="s">
        <v>35</v>
      </c>
      <c r="W4" s="96"/>
    </row>
    <row r="5" spans="1:23" ht="28.8" hidden="1" x14ac:dyDescent="0.3">
      <c r="A5" s="31" t="str">
        <v>Инжиниринг проектный - КР</v>
      </c>
      <c r="B5" s="6" t="str">
        <v>1.101.4</v>
      </c>
      <c r="C5" s="6">
        <v>1</v>
      </c>
      <c r="D5" s="31" t="str">
        <v>Разработка эскизов общего вида Изделия</v>
      </c>
      <c r="E5" s="15" t="str">
        <v>8/2026-n1-горизонт-ver_1-set_1.101.4-true</v>
      </c>
      <c r="F5" s="85" t="str">
        <f t="shared" si="0"/>
        <v>8/2026-n1-горизонт-ver_1-set_1.101.4-true</v>
      </c>
      <c r="G5" s="98">
        <v>7</v>
      </c>
      <c r="H5" s="86">
        <f>TabSpecificationWork_2[[#This Row],[COEFFICIENT MARKUP]]*TabSpecificationWork_1[[#This Row],[PRICE UNIT $PURCHASE]]</f>
        <v>350000</v>
      </c>
      <c r="I5" s="86">
        <f>TabSpecificationWork_1[[#This Row],[QUANTITY TOTAL]]*TabSpecificationWork_2[[#This Row],[PRICE UNIT $SALE]]</f>
        <v>350000</v>
      </c>
      <c r="J5" s="88">
        <v>0</v>
      </c>
      <c r="K5" s="88">
        <f>(TabSpecificationWork_2[[#This Row],[COST DEAL $SALE]]/100)*TabSpecificationWork_2[[#This Row],[DISCOUNT PERCENT]]</f>
        <v>0</v>
      </c>
      <c r="L5" s="89"/>
      <c r="M5" s="90">
        <f>_xlfn.LET(
    _xlpm.projNum, _xlfn.XLOOKUP(TabSpecificationWork_2[[#This Row],[HASH COLLECTION]], TabSpecificationWork_1[HASH COLLECTION], TabSpecificationWork_1[NUM PROJECT], ""),
    _xlpm.company, UPPER(TRIM(_xlfn.TEXTAFTER(_xlpm.projNum, "-", 2))),
    IF(_xlpm.company="ГОРИЗОНТ", 0.22, 0)
)</f>
        <v>0.22</v>
      </c>
      <c r="N5" s="98">
        <f>TabSpecificationWork_2[[#This Row],[PRICE UNIT $SALE]]</f>
        <v>350000</v>
      </c>
      <c r="O5" s="91">
        <f>TabSpecificationWork_2[[#This Row],[PRICE UNIT $TOTAL]] * TabSpecificationWork_2[[#This Row],[VAT RATE CONTRACTOR $TOTAL]]</f>
        <v>77000</v>
      </c>
      <c r="P5" s="91">
        <f>TabSpecificationWork_2[[#This Row],[PRICE UNIT $TOTAL]] + TabSpecificationWork_2[[#This Row],[VAT ADD PRICE UNIT $TOTAL]]</f>
        <v>427000</v>
      </c>
      <c r="Q5" s="92">
        <f>TabSpecificationWork_2[[#This Row],[COST DEAL $SALE]]-TabSpecificationWork_2[[#This Row],[DISCOUNT MONEY]]</f>
        <v>350000</v>
      </c>
      <c r="R5" s="93">
        <f>TabSpecificationWork_2[[#This Row],[COST $TOTAL]] * TabSpecificationWork_2[[#This Row],[VAT RATE CONTRACTOR $TOTAL]]</f>
        <v>77000</v>
      </c>
      <c r="S5" s="92">
        <f>TabSpecificationWork_2[[#This Row],[COST $TOTAL]] + TabSpecificationWork_2[[#This Row],[COST ADD VAT $TOTAL]]</f>
        <v>427000</v>
      </c>
      <c r="T5" s="94">
        <v>25</v>
      </c>
      <c r="U5" s="95" t="s">
        <v>29</v>
      </c>
      <c r="V5" s="95" t="s">
        <v>35</v>
      </c>
      <c r="W5" s="96"/>
    </row>
    <row r="6" spans="1:23" ht="28.8" hidden="1" x14ac:dyDescent="0.3">
      <c r="A6" s="31" t="str">
        <v>Инжиниринг проектный - КР</v>
      </c>
      <c r="B6" s="6" t="str">
        <v>1.101.5</v>
      </c>
      <c r="C6" s="6">
        <v>1</v>
      </c>
      <c r="D6" s="31" t="str">
        <v>Проектирование транспортировочной тары</v>
      </c>
      <c r="E6" s="15" t="str">
        <v>8/2026-n1-горизонт-ver_1-set_1.101.5-true</v>
      </c>
      <c r="F6" s="85" t="str">
        <f t="shared" si="0"/>
        <v>8/2026-n1-горизонт-ver_1-set_1.101.5-true</v>
      </c>
      <c r="G6" s="98">
        <v>6</v>
      </c>
      <c r="H6" s="86">
        <f>TabSpecificationWork_2[[#This Row],[COEFFICIENT MARKUP]]*TabSpecificationWork_1[[#This Row],[PRICE UNIT $PURCHASE]]</f>
        <v>300000</v>
      </c>
      <c r="I6" s="86">
        <f>TabSpecificationWork_1[[#This Row],[QUANTITY TOTAL]]*TabSpecificationWork_2[[#This Row],[PRICE UNIT $SALE]]</f>
        <v>300000</v>
      </c>
      <c r="J6" s="88">
        <v>0</v>
      </c>
      <c r="K6" s="88">
        <f>(TabSpecificationWork_2[[#This Row],[COST DEAL $SALE]]/100)*TabSpecificationWork_2[[#This Row],[DISCOUNT PERCENT]]</f>
        <v>0</v>
      </c>
      <c r="L6" s="89"/>
      <c r="M6" s="90">
        <f>_xlfn.LET(
    _xlpm.projNum, _xlfn.XLOOKUP(TabSpecificationWork_2[[#This Row],[HASH COLLECTION]], TabSpecificationWork_1[HASH COLLECTION], TabSpecificationWork_1[NUM PROJECT], ""),
    _xlpm.company, UPPER(TRIM(_xlfn.TEXTAFTER(_xlpm.projNum, "-", 2))),
    IF(_xlpm.company="ГОРИЗОНТ", 0.22, 0)
)</f>
        <v>0.22</v>
      </c>
      <c r="N6" s="98">
        <f>TabSpecificationWork_2[[#This Row],[PRICE UNIT $SALE]]</f>
        <v>300000</v>
      </c>
      <c r="O6" s="91">
        <f>TabSpecificationWork_2[[#This Row],[PRICE UNIT $TOTAL]] * TabSpecificationWork_2[[#This Row],[VAT RATE CONTRACTOR $TOTAL]]</f>
        <v>66000</v>
      </c>
      <c r="P6" s="91">
        <f>TabSpecificationWork_2[[#This Row],[PRICE UNIT $TOTAL]] + TabSpecificationWork_2[[#This Row],[VAT ADD PRICE UNIT $TOTAL]]</f>
        <v>366000</v>
      </c>
      <c r="Q6" s="92">
        <f>TabSpecificationWork_2[[#This Row],[COST DEAL $SALE]]-TabSpecificationWork_2[[#This Row],[DISCOUNT MONEY]]</f>
        <v>300000</v>
      </c>
      <c r="R6" s="93">
        <f>TabSpecificationWork_2[[#This Row],[COST $TOTAL]] * TabSpecificationWork_2[[#This Row],[VAT RATE CONTRACTOR $TOTAL]]</f>
        <v>66000</v>
      </c>
      <c r="S6" s="92">
        <f>TabSpecificationWork_2[[#This Row],[COST $TOTAL]] + TabSpecificationWork_2[[#This Row],[COST ADD VAT $TOTAL]]</f>
        <v>366000</v>
      </c>
      <c r="T6" s="94">
        <v>15</v>
      </c>
      <c r="U6" s="95" t="s">
        <v>29</v>
      </c>
      <c r="V6" s="95" t="s">
        <v>35</v>
      </c>
      <c r="W6" s="96"/>
    </row>
    <row r="7" spans="1:23" ht="57.6" hidden="1" x14ac:dyDescent="0.3">
      <c r="A7" s="31" t="str">
        <v>Инжиниринг проектный - КР</v>
      </c>
      <c r="B7" s="6" t="str">
        <v>1.102.1</v>
      </c>
      <c r="C7" s="6">
        <v>1</v>
      </c>
      <c r="D7" s="31" t="str">
        <v>Проектирование внешнего  бокса для размещения HMI компонентов - LCD, RFID, QR, хаб ВУ</v>
      </c>
      <c r="E7" s="15" t="str">
        <v>8/2026-n1-горизонт-ver_1-set_1.102.1-true</v>
      </c>
      <c r="F7" s="85" t="str">
        <f t="shared" si="0"/>
        <v>8/2026-n1-горизонт-ver_1-set_1.102.1-true</v>
      </c>
      <c r="G7" s="98">
        <v>2.8</v>
      </c>
      <c r="H7" s="86">
        <f>TabSpecificationWork_2[[#This Row],[COEFFICIENT MARKUP]]*TabSpecificationWork_1[[#This Row],[PRICE UNIT $PURCHASE]]</f>
        <v>280000</v>
      </c>
      <c r="I7" s="86">
        <f>TabSpecificationWork_1[[#This Row],[QUANTITY TOTAL]]*TabSpecificationWork_2[[#This Row],[PRICE UNIT $SALE]]</f>
        <v>280000</v>
      </c>
      <c r="J7" s="88">
        <v>0</v>
      </c>
      <c r="K7" s="88">
        <f>(TabSpecificationWork_2[[#This Row],[COST DEAL $SALE]]/100)*TabSpecificationWork_2[[#This Row],[DISCOUNT PERCENT]]</f>
        <v>0</v>
      </c>
      <c r="L7" s="89"/>
      <c r="M7" s="90">
        <f>_xlfn.LET(
    _xlpm.projNum, _xlfn.XLOOKUP(TabSpecificationWork_2[[#This Row],[HASH COLLECTION]], TabSpecificationWork_1[HASH COLLECTION], TabSpecificationWork_1[NUM PROJECT], ""),
    _xlpm.company, UPPER(TRIM(_xlfn.TEXTAFTER(_xlpm.projNum, "-", 2))),
    IF(_xlpm.company="ГОРИЗОНТ", 0.22, 0)
)</f>
        <v>0.22</v>
      </c>
      <c r="N7" s="98">
        <f>TabSpecificationWork_2[[#This Row],[PRICE UNIT $SALE]]</f>
        <v>280000</v>
      </c>
      <c r="O7" s="91">
        <f>TabSpecificationWork_2[[#This Row],[PRICE UNIT $TOTAL]] * TabSpecificationWork_2[[#This Row],[VAT RATE CONTRACTOR $TOTAL]]</f>
        <v>61600</v>
      </c>
      <c r="P7" s="91">
        <f>TabSpecificationWork_2[[#This Row],[PRICE UNIT $TOTAL]] + TabSpecificationWork_2[[#This Row],[VAT ADD PRICE UNIT $TOTAL]]</f>
        <v>341600</v>
      </c>
      <c r="Q7" s="92">
        <f>TabSpecificationWork_2[[#This Row],[COST DEAL $SALE]]-TabSpecificationWork_2[[#This Row],[DISCOUNT MONEY]]</f>
        <v>280000</v>
      </c>
      <c r="R7" s="93">
        <f>TabSpecificationWork_2[[#This Row],[COST $TOTAL]] * TabSpecificationWork_2[[#This Row],[VAT RATE CONTRACTOR $TOTAL]]</f>
        <v>61600</v>
      </c>
      <c r="S7" s="92">
        <f>TabSpecificationWork_2[[#This Row],[COST $TOTAL]] + TabSpecificationWork_2[[#This Row],[COST ADD VAT $TOTAL]]</f>
        <v>341600</v>
      </c>
      <c r="T7" s="94">
        <v>15</v>
      </c>
      <c r="U7" s="95" t="s">
        <v>29</v>
      </c>
      <c r="V7" s="95" t="s">
        <v>35</v>
      </c>
      <c r="W7" s="96"/>
    </row>
    <row r="8" spans="1:23" ht="72" hidden="1" x14ac:dyDescent="0.3">
      <c r="A8" s="31" t="str">
        <v>Инжиниринг проектный - КР</v>
      </c>
      <c r="B8" s="6" t="str">
        <v>1.101.6</v>
      </c>
      <c r="C8" s="6">
        <v>1</v>
      </c>
      <c r="D8" s="31" t="str">
        <v>Проведение конструкторской и технологической оценки переноса точек крепления колес</v>
      </c>
      <c r="E8" s="15" t="str">
        <v>8/2026-n1-горизонт-ver_1-set_1.101.6-true</v>
      </c>
      <c r="F8" s="85" t="str">
        <f t="shared" si="0"/>
        <v>8/2026-n1-горизонт-ver_1-set_1.101.6-true</v>
      </c>
      <c r="G8" s="98">
        <v>2.5</v>
      </c>
      <c r="H8" s="86">
        <f>TabSpecificationWork_2[[#This Row],[COEFFICIENT MARKUP]]*TabSpecificationWork_1[[#This Row],[PRICE UNIT $PURCHASE]]</f>
        <v>62500</v>
      </c>
      <c r="I8" s="86">
        <f>TabSpecificationWork_1[[#This Row],[QUANTITY TOTAL]]*TabSpecificationWork_2[[#This Row],[PRICE UNIT $SALE]]</f>
        <v>62500</v>
      </c>
      <c r="J8" s="88">
        <v>0</v>
      </c>
      <c r="K8" s="88">
        <f>(TabSpecificationWork_2[[#This Row],[COST DEAL $SALE]]/100)*TabSpecificationWork_2[[#This Row],[DISCOUNT PERCENT]]</f>
        <v>0</v>
      </c>
      <c r="L8" s="89"/>
      <c r="M8" s="90">
        <f>_xlfn.LET(
    _xlpm.projNum, _xlfn.XLOOKUP(TabSpecificationWork_2[[#This Row],[HASH COLLECTION]], TabSpecificationWork_1[HASH COLLECTION], TabSpecificationWork_1[NUM PROJECT], ""),
    _xlpm.company, UPPER(TRIM(_xlfn.TEXTAFTER(_xlpm.projNum, "-", 2))),
    IF(_xlpm.company="ГОРИЗОНТ", 0.22, 0)
)</f>
        <v>0.22</v>
      </c>
      <c r="N8" s="98">
        <f>TabSpecificationWork_2[[#This Row],[PRICE UNIT $SALE]]</f>
        <v>62500</v>
      </c>
      <c r="O8" s="91">
        <f>TabSpecificationWork_2[[#This Row],[PRICE UNIT $TOTAL]] * TabSpecificationWork_2[[#This Row],[VAT RATE CONTRACTOR $TOTAL]]</f>
        <v>13750</v>
      </c>
      <c r="P8" s="91">
        <f>TabSpecificationWork_2[[#This Row],[PRICE UNIT $TOTAL]] + TabSpecificationWork_2[[#This Row],[VAT ADD PRICE UNIT $TOTAL]]</f>
        <v>76250</v>
      </c>
      <c r="Q8" s="92">
        <f>TabSpecificationWork_2[[#This Row],[COST DEAL $SALE]]-TabSpecificationWork_2[[#This Row],[DISCOUNT MONEY]]</f>
        <v>62500</v>
      </c>
      <c r="R8" s="93">
        <f>TabSpecificationWork_2[[#This Row],[COST $TOTAL]] * TabSpecificationWork_2[[#This Row],[VAT RATE CONTRACTOR $TOTAL]]</f>
        <v>13750</v>
      </c>
      <c r="S8" s="92">
        <f>TabSpecificationWork_2[[#This Row],[COST $TOTAL]] + TabSpecificationWork_2[[#This Row],[COST ADD VAT $TOTAL]]</f>
        <v>76250</v>
      </c>
      <c r="T8" s="94">
        <v>12</v>
      </c>
      <c r="U8" s="95" t="s">
        <v>29</v>
      </c>
      <c r="V8" s="95" t="s">
        <v>35</v>
      </c>
      <c r="W8" s="96"/>
    </row>
    <row r="9" spans="1:23" ht="43.2" hidden="1" x14ac:dyDescent="0.3">
      <c r="A9" s="31" t="str">
        <v>Инжиниринг проектный - КР</v>
      </c>
      <c r="B9" s="6" t="str">
        <v>1.101.7</v>
      </c>
      <c r="C9" s="6">
        <v>1</v>
      </c>
      <c r="D9" s="31" t="str">
        <v>Проектирование кронштейна крепления камер видеонаблюдения</v>
      </c>
      <c r="E9" s="15" t="str">
        <v>8/2026-n1-горизонт-ver_1-set_1.101.7-true</v>
      </c>
      <c r="F9" s="85" t="str">
        <f t="shared" si="0"/>
        <v>8/2026-n1-горизонт-ver_1-set_1.101.7-true</v>
      </c>
      <c r="G9" s="98">
        <v>3</v>
      </c>
      <c r="H9" s="86">
        <f>TabSpecificationWork_2[[#This Row],[COEFFICIENT MARKUP]]*TabSpecificationWork_1[[#This Row],[PRICE UNIT $PURCHASE]]</f>
        <v>75000</v>
      </c>
      <c r="I9" s="86">
        <f>TabSpecificationWork_1[[#This Row],[QUANTITY TOTAL]]*TabSpecificationWork_2[[#This Row],[PRICE UNIT $SALE]]</f>
        <v>75000</v>
      </c>
      <c r="J9" s="88">
        <v>0</v>
      </c>
      <c r="K9" s="88">
        <f>(TabSpecificationWork_2[[#This Row],[COST DEAL $SALE]]/100)*TabSpecificationWork_2[[#This Row],[DISCOUNT PERCENT]]</f>
        <v>0</v>
      </c>
      <c r="L9" s="89"/>
      <c r="M9" s="90">
        <f>_xlfn.LET(
    _xlpm.projNum, _xlfn.XLOOKUP(TabSpecificationWork_2[[#This Row],[HASH COLLECTION]], TabSpecificationWork_1[HASH COLLECTION], TabSpecificationWork_1[NUM PROJECT], ""),
    _xlpm.company, UPPER(TRIM(_xlfn.TEXTAFTER(_xlpm.projNum, "-", 2))),
    IF(_xlpm.company="ГОРИЗОНТ", 0.22, 0)
)</f>
        <v>0.22</v>
      </c>
      <c r="N9" s="98">
        <f>TabSpecificationWork_2[[#This Row],[PRICE UNIT $SALE]]</f>
        <v>75000</v>
      </c>
      <c r="O9" s="91">
        <f>TabSpecificationWork_2[[#This Row],[PRICE UNIT $TOTAL]] * TabSpecificationWork_2[[#This Row],[VAT RATE CONTRACTOR $TOTAL]]</f>
        <v>16500</v>
      </c>
      <c r="P9" s="91">
        <f>TabSpecificationWork_2[[#This Row],[PRICE UNIT $TOTAL]] + TabSpecificationWork_2[[#This Row],[VAT ADD PRICE UNIT $TOTAL]]</f>
        <v>91500</v>
      </c>
      <c r="Q9" s="92">
        <f>TabSpecificationWork_2[[#This Row],[COST DEAL $SALE]]-TabSpecificationWork_2[[#This Row],[DISCOUNT MONEY]]</f>
        <v>75000</v>
      </c>
      <c r="R9" s="93">
        <f>TabSpecificationWork_2[[#This Row],[COST $TOTAL]] * TabSpecificationWork_2[[#This Row],[VAT RATE CONTRACTOR $TOTAL]]</f>
        <v>16500</v>
      </c>
      <c r="S9" s="92">
        <f>TabSpecificationWork_2[[#This Row],[COST $TOTAL]] + TabSpecificationWork_2[[#This Row],[COST ADD VAT $TOTAL]]</f>
        <v>91500</v>
      </c>
      <c r="T9" s="94">
        <v>12</v>
      </c>
      <c r="U9" s="95" t="s">
        <v>29</v>
      </c>
      <c r="V9" s="95" t="s">
        <v>35</v>
      </c>
      <c r="W9" s="96" t="s">
        <v>669</v>
      </c>
    </row>
    <row r="10" spans="1:23" ht="43.2" hidden="1" x14ac:dyDescent="0.3">
      <c r="A10" s="31" t="str">
        <v>Инжиниринг проектный - КР</v>
      </c>
      <c r="B10" s="6" t="str">
        <v>1.103.1</v>
      </c>
      <c r="C10" s="6">
        <v>1</v>
      </c>
      <c r="D10" s="31" t="str">
        <v>Проектирование двери спиральной секции т 2-х приемников ТМЦ</v>
      </c>
      <c r="E10" s="15" t="str">
        <v>8/2026-n1-горизонт-ver_1-set_1.103.1-false</v>
      </c>
      <c r="F10" s="85" t="str">
        <f t="shared" si="0"/>
        <v>8/2026-n1-горизонт-ver_1-set_1.103.1-false</v>
      </c>
      <c r="G10" s="98">
        <v>1</v>
      </c>
      <c r="H10" s="86">
        <f>TabSpecificationWork_2[[#This Row],[COEFFICIENT MARKUP]]*TabSpecificationWork_1[[#This Row],[PRICE UNIT $PURCHASE]]</f>
        <v>100000</v>
      </c>
      <c r="I10" s="86">
        <f>TabSpecificationWork_1[[#This Row],[QUANTITY TOTAL]]*TabSpecificationWork_2[[#This Row],[PRICE UNIT $SALE]]</f>
        <v>100000</v>
      </c>
      <c r="J10" s="88">
        <v>0</v>
      </c>
      <c r="K10" s="88">
        <f>(TabSpecificationWork_2[[#This Row],[COST DEAL $SALE]]/100)*TabSpecificationWork_2[[#This Row],[DISCOUNT PERCENT]]</f>
        <v>0</v>
      </c>
      <c r="L10" s="89"/>
      <c r="M10" s="90">
        <f>_xlfn.LET(
    _xlpm.projNum, _xlfn.XLOOKUP(TabSpecificationWork_2[[#This Row],[HASH COLLECTION]], TabSpecificationWork_1[HASH COLLECTION], TabSpecificationWork_1[NUM PROJECT], ""),
    _xlpm.company, UPPER(TRIM(_xlfn.TEXTAFTER(_xlpm.projNum, "-", 2))),
    IF(_xlpm.company="ГОРИЗОНТ", 0.22, 0)
)</f>
        <v>0.22</v>
      </c>
      <c r="N10" s="98">
        <f>TabSpecificationWork_2[[#This Row],[PRICE UNIT $SALE]]</f>
        <v>100000</v>
      </c>
      <c r="O10" s="91">
        <f>TabSpecificationWork_2[[#This Row],[PRICE UNIT $TOTAL]] * TabSpecificationWork_2[[#This Row],[VAT RATE CONTRACTOR $TOTAL]]</f>
        <v>22000</v>
      </c>
      <c r="P10" s="91">
        <f>TabSpecificationWork_2[[#This Row],[PRICE UNIT $TOTAL]] + TabSpecificationWork_2[[#This Row],[VAT ADD PRICE UNIT $TOTAL]]</f>
        <v>122000</v>
      </c>
      <c r="Q10" s="92">
        <f>TabSpecificationWork_2[[#This Row],[COST DEAL $SALE]]-TabSpecificationWork_2[[#This Row],[DISCOUNT MONEY]]</f>
        <v>100000</v>
      </c>
      <c r="R10" s="93">
        <f>TabSpecificationWork_2[[#This Row],[COST $TOTAL]] * TabSpecificationWork_2[[#This Row],[VAT RATE CONTRACTOR $TOTAL]]</f>
        <v>22000</v>
      </c>
      <c r="S10" s="92">
        <f>TabSpecificationWork_2[[#This Row],[COST $TOTAL]] + TabSpecificationWork_2[[#This Row],[COST ADD VAT $TOTAL]]</f>
        <v>122000</v>
      </c>
      <c r="T10" s="94">
        <v>45</v>
      </c>
      <c r="U10" s="95" t="s">
        <v>29</v>
      </c>
      <c r="V10" s="95" t="s">
        <v>35</v>
      </c>
      <c r="W10" s="96"/>
    </row>
    <row r="11" spans="1:23" ht="86.4" hidden="1" x14ac:dyDescent="0.3">
      <c r="A11" s="31" t="str">
        <v>Инжиниринг проектный - КД</v>
      </c>
      <c r="B11" s="6" t="str">
        <v>2.101.1</v>
      </c>
      <c r="C11" s="6">
        <v>1</v>
      </c>
      <c r="D11" s="31" t="str">
        <v>Инженерный анализ существующей конструкции изделия.
Постаматный вендинговый аппарата, модель «Knowhy» G80/master</v>
      </c>
      <c r="E11" s="15" t="str">
        <v>8/2026-n2-горизонт-ver_1-set_2.101.1-true</v>
      </c>
      <c r="F11" s="85" t="str">
        <f t="shared" si="0"/>
        <v>8/2026-n2-горизонт-ver_1-set_2.101.1-true</v>
      </c>
      <c r="G11" s="98">
        <f>150/100</f>
        <v>1.5</v>
      </c>
      <c r="H11" s="87">
        <f>TabSpecificationWork_2[[#This Row],[COEFFICIENT MARKUP]]*TabSpecificationWork_1[[#This Row],[PRICE UNIT $PURCHASE]]</f>
        <v>150000</v>
      </c>
      <c r="I11" s="87">
        <f>TabSpecificationWork_1[[#This Row],[QUANTITY TOTAL]]*TabSpecificationWork_2[[#This Row],[PRICE UNIT $SALE]]</f>
        <v>150000</v>
      </c>
      <c r="J11" s="88">
        <v>0</v>
      </c>
      <c r="K11" s="88">
        <f>(TabSpecificationWork_2[[#This Row],[COST DEAL $SALE]]/100)*TabSpecificationWork_2[[#This Row],[DISCOUNT PERCENT]]</f>
        <v>0</v>
      </c>
      <c r="L11" s="89"/>
      <c r="M11" s="90">
        <f>_xlfn.LET(
    _xlpm.projNum, _xlfn.XLOOKUP(TabSpecificationWork_2[[#This Row],[HASH COLLECTION]], TabSpecificationWork_1[HASH COLLECTION], TabSpecificationWork_1[NUM PROJECT], ""),
    _xlpm.company, UPPER(TRIM(_xlfn.TEXTAFTER(_xlpm.projNum, "-", 2))),
    IF(_xlpm.company="ГОРИЗОНТ", 0.22, 0)
)</f>
        <v>0.22</v>
      </c>
      <c r="N11" s="98">
        <f>TabSpecificationWork_2[[#This Row],[PRICE UNIT $SALE]]</f>
        <v>150000</v>
      </c>
      <c r="O11" s="98">
        <f>TabSpecificationWork_2[[#This Row],[PRICE UNIT $TOTAL]] * TabSpecificationWork_2[[#This Row],[VAT RATE CONTRACTOR $TOTAL]]</f>
        <v>33000</v>
      </c>
      <c r="P11" s="98">
        <f>TabSpecificationWork_2[[#This Row],[PRICE UNIT $TOTAL]] + TabSpecificationWork_2[[#This Row],[VAT ADD PRICE UNIT $TOTAL]]</f>
        <v>183000</v>
      </c>
      <c r="Q11" s="92">
        <f>TabSpecificationWork_2[[#This Row],[COST DEAL $SALE]]-TabSpecificationWork_2[[#This Row],[DISCOUNT MONEY]]</f>
        <v>150000</v>
      </c>
      <c r="R11" s="91">
        <f>TabSpecificationWork_2[[#This Row],[COST $TOTAL]] * TabSpecificationWork_2[[#This Row],[VAT RATE CONTRACTOR $TOTAL]]</f>
        <v>33000</v>
      </c>
      <c r="S11" s="92">
        <f>TabSpecificationWork_2[[#This Row],[COST $TOTAL]] + TabSpecificationWork_2[[#This Row],[COST ADD VAT $TOTAL]]</f>
        <v>183000</v>
      </c>
      <c r="T11" s="94">
        <v>14</v>
      </c>
      <c r="U11" s="95" t="s">
        <v>29</v>
      </c>
      <c r="V11" s="95" t="s">
        <v>35</v>
      </c>
      <c r="W11" s="96"/>
    </row>
    <row r="12" spans="1:23" ht="72" hidden="1" x14ac:dyDescent="0.3">
      <c r="A12" s="31" t="str">
        <v>Инжиниринг предпроектный - КД</v>
      </c>
      <c r="B12" s="6" t="str">
        <v>2.101.2</v>
      </c>
      <c r="C12" s="6">
        <v>1</v>
      </c>
      <c r="D12" s="31" t="str">
        <v>Разработка ТЗ №1 на изделие в целом.
Постаматный вендинговый аппарата, модель «Knowhy» G80/master</v>
      </c>
      <c r="E12" s="15" t="str">
        <v>8/2026-n2-горизонт-ver_1-set_2.101.2-true</v>
      </c>
      <c r="F12" s="85" t="str">
        <f t="shared" si="0"/>
        <v>8/2026-n2-горизонт-ver_1-set_2.101.2-true</v>
      </c>
      <c r="G12" s="98">
        <f>30/20</f>
        <v>1.5</v>
      </c>
      <c r="H12" s="87">
        <f>TabSpecificationWork_2[[#This Row],[COEFFICIENT MARKUP]]*TabSpecificationWork_1[[#This Row],[PRICE UNIT $PURCHASE]]</f>
        <v>30000</v>
      </c>
      <c r="I12" s="87">
        <f>TabSpecificationWork_1[[#This Row],[QUANTITY TOTAL]]*TabSpecificationWork_2[[#This Row],[PRICE UNIT $SALE]]</f>
        <v>30000</v>
      </c>
      <c r="J12" s="88">
        <v>0</v>
      </c>
      <c r="K12" s="88">
        <f>(TabSpecificationWork_2[[#This Row],[COST DEAL $SALE]]/100)*TabSpecificationWork_2[[#This Row],[DISCOUNT PERCENT]]</f>
        <v>0</v>
      </c>
      <c r="L12" s="89"/>
      <c r="M12" s="90">
        <f>_xlfn.LET(
    _xlpm.projNum, _xlfn.XLOOKUP(TabSpecificationWork_2[[#This Row],[HASH COLLECTION]], TabSpecificationWork_1[HASH COLLECTION], TabSpecificationWork_1[NUM PROJECT], ""),
    _xlpm.company, UPPER(TRIM(_xlfn.TEXTAFTER(_xlpm.projNum, "-", 2))),
    IF(_xlpm.company="ГОРИЗОНТ", 0.22, 0)
)</f>
        <v>0.22</v>
      </c>
      <c r="N12" s="98">
        <f>TabSpecificationWork_2[[#This Row],[PRICE UNIT $SALE]]</f>
        <v>30000</v>
      </c>
      <c r="O12" s="98">
        <f>TabSpecificationWork_2[[#This Row],[PRICE UNIT $TOTAL]] * TabSpecificationWork_2[[#This Row],[VAT RATE CONTRACTOR $TOTAL]]</f>
        <v>6600</v>
      </c>
      <c r="P12" s="98">
        <f>TabSpecificationWork_2[[#This Row],[PRICE UNIT $TOTAL]] + TabSpecificationWork_2[[#This Row],[VAT ADD PRICE UNIT $TOTAL]]</f>
        <v>36600</v>
      </c>
      <c r="Q12" s="92">
        <f>TabSpecificationWork_2[[#This Row],[COST DEAL $SALE]]-TabSpecificationWork_2[[#This Row],[DISCOUNT MONEY]]</f>
        <v>30000</v>
      </c>
      <c r="R12" s="91">
        <f>TabSpecificationWork_2[[#This Row],[COST $TOTAL]] * TabSpecificationWork_2[[#This Row],[VAT RATE CONTRACTOR $TOTAL]]</f>
        <v>6600</v>
      </c>
      <c r="S12" s="92">
        <f>TabSpecificationWork_2[[#This Row],[COST $TOTAL]] + TabSpecificationWork_2[[#This Row],[COST ADD VAT $TOTAL]]</f>
        <v>36600</v>
      </c>
      <c r="T12" s="94">
        <v>7</v>
      </c>
      <c r="U12" s="95" t="s">
        <v>29</v>
      </c>
      <c r="V12" s="95" t="s">
        <v>35</v>
      </c>
      <c r="W12" s="96"/>
    </row>
    <row r="13" spans="1:23" ht="72" hidden="1" x14ac:dyDescent="0.3">
      <c r="A13" s="31" t="str">
        <v>Инжиниринг проектный - КД</v>
      </c>
      <c r="B13" s="6" t="str">
        <v>2.101.3</v>
      </c>
      <c r="C13" s="6">
        <v>1</v>
      </c>
      <c r="D13" s="31" t="str">
        <v>Разработка ТЗ №2 на адаптацию ПТК.
Постаматный вендинговый аппарата, модель «Knowhy» G80/master</v>
      </c>
      <c r="E13" s="15" t="str">
        <v>8/2026-n2-горизонт-ver_1-set_2.101.3-true</v>
      </c>
      <c r="F13" s="85" t="str">
        <f t="shared" si="0"/>
        <v>8/2026-n2-горизонт-ver_1-set_2.101.3-true</v>
      </c>
      <c r="G13" s="98">
        <f>30/20</f>
        <v>1.5</v>
      </c>
      <c r="H13" s="87">
        <f>TabSpecificationWork_2[[#This Row],[COEFFICIENT MARKUP]]*TabSpecificationWork_1[[#This Row],[PRICE UNIT $PURCHASE]]</f>
        <v>30000</v>
      </c>
      <c r="I13" s="87">
        <f>TabSpecificationWork_1[[#This Row],[QUANTITY TOTAL]]*TabSpecificationWork_2[[#This Row],[PRICE UNIT $SALE]]</f>
        <v>30000</v>
      </c>
      <c r="J13" s="88">
        <v>0</v>
      </c>
      <c r="K13" s="88">
        <f>(TabSpecificationWork_2[[#This Row],[COST DEAL $SALE]]/100)*TabSpecificationWork_2[[#This Row],[DISCOUNT PERCENT]]</f>
        <v>0</v>
      </c>
      <c r="L13" s="89"/>
      <c r="M13" s="90">
        <f>_xlfn.LET(
    _xlpm.projNum, _xlfn.XLOOKUP(TabSpecificationWork_2[[#This Row],[HASH COLLECTION]], TabSpecificationWork_1[HASH COLLECTION], TabSpecificationWork_1[NUM PROJECT], ""),
    _xlpm.company, UPPER(TRIM(_xlfn.TEXTAFTER(_xlpm.projNum, "-", 2))),
    IF(_xlpm.company="ГОРИЗОНТ", 0.22, 0)
)</f>
        <v>0.22</v>
      </c>
      <c r="N13" s="98">
        <f>TabSpecificationWork_2[[#This Row],[PRICE UNIT $SALE]]</f>
        <v>30000</v>
      </c>
      <c r="O13" s="98">
        <f>TabSpecificationWork_2[[#This Row],[PRICE UNIT $TOTAL]] * TabSpecificationWork_2[[#This Row],[VAT RATE CONTRACTOR $TOTAL]]</f>
        <v>6600</v>
      </c>
      <c r="P13" s="98">
        <f>TabSpecificationWork_2[[#This Row],[PRICE UNIT $TOTAL]] + TabSpecificationWork_2[[#This Row],[VAT ADD PRICE UNIT $TOTAL]]</f>
        <v>36600</v>
      </c>
      <c r="Q13" s="92">
        <f>TabSpecificationWork_2[[#This Row],[COST DEAL $SALE]]-TabSpecificationWork_2[[#This Row],[DISCOUNT MONEY]]</f>
        <v>30000</v>
      </c>
      <c r="R13" s="91">
        <f>TabSpecificationWork_2[[#This Row],[COST $TOTAL]] * TabSpecificationWork_2[[#This Row],[VAT RATE CONTRACTOR $TOTAL]]</f>
        <v>6600</v>
      </c>
      <c r="S13" s="92">
        <f>TabSpecificationWork_2[[#This Row],[COST $TOTAL]] + TabSpecificationWork_2[[#This Row],[COST ADD VAT $TOTAL]]</f>
        <v>36600</v>
      </c>
      <c r="T13" s="94">
        <v>7</v>
      </c>
      <c r="U13" s="95" t="s">
        <v>29</v>
      </c>
      <c r="V13" s="95" t="s">
        <v>35</v>
      </c>
      <c r="W13" s="96"/>
    </row>
    <row r="14" spans="1:23" ht="100.8" hidden="1" x14ac:dyDescent="0.3">
      <c r="A14" s="31" t="str">
        <v>Инжиниринг проектный - АСУ</v>
      </c>
      <c r="B14" s="6" t="str">
        <v>2.102.1</v>
      </c>
      <c r="C14" s="6">
        <v>1</v>
      </c>
      <c r="D14" s="31" t="str">
        <v>Адаптация, комплектование и сборка ПТК в соответствии с ТЗ №2.
Постаматный вендинговый аппарата, модель «Knowhy» G80/master</v>
      </c>
      <c r="E14" s="15" t="str">
        <v>8/2026-n2-горизонт-ver_1-set_2.102.1-true</v>
      </c>
      <c r="F14" s="85" t="str">
        <f t="shared" si="0"/>
        <v>8/2026-n2-горизонт-ver_1-set_2.102.1-true</v>
      </c>
      <c r="G14" s="98">
        <v>3</v>
      </c>
      <c r="H14" s="87">
        <f>TabSpecificationWork_2[[#This Row],[COEFFICIENT MARKUP]]*TabSpecificationWork_1[[#This Row],[PRICE UNIT $PURCHASE]]</f>
        <v>2400000</v>
      </c>
      <c r="I14" s="87">
        <f>TabSpecificationWork_1[[#This Row],[QUANTITY TOTAL]]*TabSpecificationWork_2[[#This Row],[PRICE UNIT $SALE]]</f>
        <v>2400000</v>
      </c>
      <c r="J14" s="88">
        <v>0</v>
      </c>
      <c r="K14" s="88">
        <f>(TabSpecificationWork_2[[#This Row],[COST DEAL $SALE]]/100)*TabSpecificationWork_2[[#This Row],[DISCOUNT PERCENT]]</f>
        <v>0</v>
      </c>
      <c r="L14" s="89"/>
      <c r="M14" s="90">
        <f>_xlfn.LET(
    _xlpm.projNum, _xlfn.XLOOKUP(TabSpecificationWork_2[[#This Row],[HASH COLLECTION]], TabSpecificationWork_1[HASH COLLECTION], TabSpecificationWork_1[NUM PROJECT], ""),
    _xlpm.company, UPPER(TRIM(_xlfn.TEXTAFTER(_xlpm.projNum, "-", 2))),
    IF(_xlpm.company="ГОРИЗОНТ", 0.22, 0)
)</f>
        <v>0.22</v>
      </c>
      <c r="N14" s="98">
        <f>TabSpecificationWork_2[[#This Row],[PRICE UNIT $SALE]]</f>
        <v>2400000</v>
      </c>
      <c r="O14" s="98">
        <f>TabSpecificationWork_2[[#This Row],[PRICE UNIT $TOTAL]] * TabSpecificationWork_2[[#This Row],[VAT RATE CONTRACTOR $TOTAL]]</f>
        <v>528000</v>
      </c>
      <c r="P14" s="98">
        <f>TabSpecificationWork_2[[#This Row],[PRICE UNIT $TOTAL]] + TabSpecificationWork_2[[#This Row],[VAT ADD PRICE UNIT $TOTAL]]</f>
        <v>2928000</v>
      </c>
      <c r="Q14" s="92">
        <f>TabSpecificationWork_2[[#This Row],[COST DEAL $SALE]]-TabSpecificationWork_2[[#This Row],[DISCOUNT MONEY]]</f>
        <v>2400000</v>
      </c>
      <c r="R14" s="91">
        <f>TabSpecificationWork_2[[#This Row],[COST $TOTAL]] * TabSpecificationWork_2[[#This Row],[VAT RATE CONTRACTOR $TOTAL]]</f>
        <v>528000</v>
      </c>
      <c r="S14" s="92">
        <f>TabSpecificationWork_2[[#This Row],[COST $TOTAL]] + TabSpecificationWork_2[[#This Row],[COST ADD VAT $TOTAL]]</f>
        <v>2928000</v>
      </c>
      <c r="T14" s="94">
        <v>80</v>
      </c>
      <c r="U14" s="95" t="s">
        <v>29</v>
      </c>
      <c r="V14" s="95" t="s">
        <v>35</v>
      </c>
      <c r="W14" s="96"/>
    </row>
    <row r="15" spans="1:23" ht="100.8" hidden="1" x14ac:dyDescent="0.3">
      <c r="A15" s="31" t="str">
        <v>Инжиниринг постпроектный - КД</v>
      </c>
      <c r="B15" s="6" t="str">
        <v>2.103.1</v>
      </c>
      <c r="C15" s="6">
        <v>1</v>
      </c>
      <c r="D15" s="31" t="str">
        <v>Комплексное тестирование аппарата на базе новой системы управления.
Постаматный вендинговый аппарата, модель «Knowhy» G80/master</v>
      </c>
      <c r="E15" s="15" t="str">
        <v>8/2026-n2-горизонт-ver_1-set_2.103.1-true</v>
      </c>
      <c r="F15" s="85" t="str">
        <f t="shared" si="0"/>
        <v>8/2026-n2-горизонт-ver_1-set_2.103.1-true</v>
      </c>
      <c r="G15" s="98">
        <f>350/300</f>
        <v>1.1666666666666667</v>
      </c>
      <c r="H15" s="87">
        <f>TabSpecificationWork_2[[#This Row],[COEFFICIENT MARKUP]]*TabSpecificationWork_1[[#This Row],[PRICE UNIT $PURCHASE]]</f>
        <v>350000</v>
      </c>
      <c r="I15" s="87">
        <f>TabSpecificationWork_1[[#This Row],[QUANTITY TOTAL]]*TabSpecificationWork_2[[#This Row],[PRICE UNIT $SALE]]</f>
        <v>350000</v>
      </c>
      <c r="J15" s="88">
        <v>0</v>
      </c>
      <c r="K15" s="88">
        <f>(TabSpecificationWork_2[[#This Row],[COST DEAL $SALE]]/100)*TabSpecificationWork_2[[#This Row],[DISCOUNT PERCENT]]</f>
        <v>0</v>
      </c>
      <c r="L15" s="89"/>
      <c r="M15" s="90">
        <f>_xlfn.LET(
    _xlpm.projNum, _xlfn.XLOOKUP(TabSpecificationWork_2[[#This Row],[HASH COLLECTION]], TabSpecificationWork_1[HASH COLLECTION], TabSpecificationWork_1[NUM PROJECT], ""),
    _xlpm.company, UPPER(TRIM(_xlfn.TEXTAFTER(_xlpm.projNum, "-", 2))),
    IF(_xlpm.company="ГОРИЗОНТ", 0.22, 0)
)</f>
        <v>0.22</v>
      </c>
      <c r="N15" s="98">
        <f>TabSpecificationWork_2[[#This Row],[PRICE UNIT $SALE]]</f>
        <v>350000</v>
      </c>
      <c r="O15" s="98">
        <f>TabSpecificationWork_2[[#This Row],[PRICE UNIT $TOTAL]] * TabSpecificationWork_2[[#This Row],[VAT RATE CONTRACTOR $TOTAL]]</f>
        <v>77000</v>
      </c>
      <c r="P15" s="98">
        <f>TabSpecificationWork_2[[#This Row],[PRICE UNIT $TOTAL]] + TabSpecificationWork_2[[#This Row],[VAT ADD PRICE UNIT $TOTAL]]</f>
        <v>427000</v>
      </c>
      <c r="Q15" s="92">
        <f>TabSpecificationWork_2[[#This Row],[COST DEAL $SALE]]-TabSpecificationWork_2[[#This Row],[DISCOUNT MONEY]]</f>
        <v>350000</v>
      </c>
      <c r="R15" s="91">
        <f>TabSpecificationWork_2[[#This Row],[COST $TOTAL]] * TabSpecificationWork_2[[#This Row],[VAT RATE CONTRACTOR $TOTAL]]</f>
        <v>77000</v>
      </c>
      <c r="S15" s="92">
        <f>TabSpecificationWork_2[[#This Row],[COST $TOTAL]] + TabSpecificationWork_2[[#This Row],[COST ADD VAT $TOTAL]]</f>
        <v>427000</v>
      </c>
      <c r="T15" s="94">
        <v>14</v>
      </c>
      <c r="U15" s="95" t="s">
        <v>29</v>
      </c>
      <c r="V15" s="95" t="s">
        <v>35</v>
      </c>
      <c r="W15" s="96" t="s">
        <v>656</v>
      </c>
    </row>
    <row r="16" spans="1:23" ht="115.2" hidden="1" x14ac:dyDescent="0.3">
      <c r="A16" s="31" t="str">
        <v>Инжиниринг проектный - КД</v>
      </c>
      <c r="B16" s="6" t="str">
        <v>3.101.1</v>
      </c>
      <c r="C16" s="6">
        <v>1</v>
      </c>
      <c r="D16" s="31" t="str">
        <v>Инженерный анализ существующей конструкции изделия.
Гибридный (спираль/постамат) вендинговый аппарат, модель Wate Tecnology L8050 stand-alone/master</v>
      </c>
      <c r="E16" s="15" t="str">
        <v>8/2026-n3-горизонт-ver_1-set_3.101.1-false</v>
      </c>
      <c r="F16" s="85" t="str">
        <f t="shared" ref="F16:F21" si="1">E16</f>
        <v>8/2026-n3-горизонт-ver_1-set_3.101.1-false</v>
      </c>
      <c r="G16" s="98">
        <f>150/100</f>
        <v>1.5</v>
      </c>
      <c r="H16" s="87">
        <f>TabSpecificationWork_2[[#This Row],[COEFFICIENT MARKUP]]*TabSpecificationWork_1[[#This Row],[PRICE UNIT $PURCHASE]]</f>
        <v>150000</v>
      </c>
      <c r="I16" s="99">
        <f>TabSpecificationWork_1[[#This Row],[QUANTITY TOTAL]]*TabSpecificationWork_2[[#This Row],[PRICE UNIT $SALE]]</f>
        <v>150000</v>
      </c>
      <c r="J16" s="88">
        <v>0</v>
      </c>
      <c r="K16" s="88">
        <f>(TabSpecificationWork_2[[#This Row],[COST DEAL $SALE]]/100)*TabSpecificationWork_2[[#This Row],[DISCOUNT PERCENT]]</f>
        <v>0</v>
      </c>
      <c r="L16" s="89"/>
      <c r="M16" s="90">
        <f>_xlfn.LET(
    _xlpm.projNum, _xlfn.XLOOKUP(TabSpecificationWork_2[[#This Row],[HASH COLLECTION]], TabSpecificationWork_1[HASH COLLECTION], TabSpecificationWork_1[NUM PROJECT], ""),
    _xlpm.company, UPPER(TRIM(_xlfn.TEXTAFTER(_xlpm.projNum, "-", 2))),
    IF(_xlpm.company="ГОРИЗОНТ", 0.22, 0)
)</f>
        <v>0.22</v>
      </c>
      <c r="N16" s="98">
        <f>TabSpecificationWork_2[[#This Row],[PRICE UNIT $SALE]]</f>
        <v>150000</v>
      </c>
      <c r="O16" s="98">
        <f>TabSpecificationWork_2[[#This Row],[PRICE UNIT $TOTAL]] * TabSpecificationWork_2[[#This Row],[VAT RATE CONTRACTOR $TOTAL]]</f>
        <v>33000</v>
      </c>
      <c r="P16" s="98">
        <f>TabSpecificationWork_2[[#This Row],[PRICE UNIT $TOTAL]] + TabSpecificationWork_2[[#This Row],[VAT ADD PRICE UNIT $TOTAL]]</f>
        <v>183000</v>
      </c>
      <c r="Q16" s="92">
        <f>TabSpecificationWork_2[[#This Row],[COST DEAL $SALE]]-TabSpecificationWork_2[[#This Row],[DISCOUNT MONEY]]</f>
        <v>150000</v>
      </c>
      <c r="R16" s="91">
        <f>TabSpecificationWork_2[[#This Row],[COST $TOTAL]] * TabSpecificationWork_2[[#This Row],[VAT RATE CONTRACTOR $TOTAL]]</f>
        <v>33000</v>
      </c>
      <c r="S16" s="92">
        <f>TabSpecificationWork_2[[#This Row],[COST $TOTAL]] + TabSpecificationWork_2[[#This Row],[COST ADD VAT $TOTAL]]</f>
        <v>183000</v>
      </c>
      <c r="T16" s="94">
        <v>14</v>
      </c>
      <c r="U16" s="95" t="s">
        <v>35</v>
      </c>
      <c r="V16" s="95" t="s">
        <v>35</v>
      </c>
      <c r="W16" s="96"/>
    </row>
    <row r="17" spans="1:23" ht="100.8" hidden="1" x14ac:dyDescent="0.3">
      <c r="A17" s="31" t="str">
        <v>Инжиниринг предпроектный - КД</v>
      </c>
      <c r="B17" s="6" t="str">
        <v>3.101.2</v>
      </c>
      <c r="C17" s="6">
        <v>1</v>
      </c>
      <c r="D17" s="31" t="str">
        <v>Разработка ТЗ №1 на изделие в целом.
Гибридный (спираль/постамат) вендинговый аппарат, модель Wate Tecnology L8050 stand-alone/master</v>
      </c>
      <c r="E17" s="15" t="str">
        <v>8/2026-n3-горизонт-ver_1-set_3.101.2-false</v>
      </c>
      <c r="F17" s="85" t="str">
        <f t="shared" si="1"/>
        <v>8/2026-n3-горизонт-ver_1-set_3.101.2-false</v>
      </c>
      <c r="G17" s="98">
        <f>30/20</f>
        <v>1.5</v>
      </c>
      <c r="H17" s="87">
        <f>TabSpecificationWork_2[[#This Row],[COEFFICIENT MARKUP]]*TabSpecificationWork_1[[#This Row],[PRICE UNIT $PURCHASE]]</f>
        <v>30000</v>
      </c>
      <c r="I17" s="99">
        <f>TabSpecificationWork_1[[#This Row],[QUANTITY TOTAL]]*TabSpecificationWork_2[[#This Row],[PRICE UNIT $SALE]]</f>
        <v>30000</v>
      </c>
      <c r="J17" s="88">
        <v>0</v>
      </c>
      <c r="K17" s="88">
        <f>(TabSpecificationWork_2[[#This Row],[COST DEAL $SALE]]/100)*TabSpecificationWork_2[[#This Row],[DISCOUNT PERCENT]]</f>
        <v>0</v>
      </c>
      <c r="L17" s="89"/>
      <c r="M17" s="90">
        <f>_xlfn.LET(
    _xlpm.projNum, _xlfn.XLOOKUP(TabSpecificationWork_2[[#This Row],[HASH COLLECTION]], TabSpecificationWork_1[HASH COLLECTION], TabSpecificationWork_1[NUM PROJECT], ""),
    _xlpm.company, UPPER(TRIM(_xlfn.TEXTAFTER(_xlpm.projNum, "-", 2))),
    IF(_xlpm.company="ГОРИЗОНТ", 0.22, 0)
)</f>
        <v>0.22</v>
      </c>
      <c r="N17" s="98">
        <f>TabSpecificationWork_2[[#This Row],[PRICE UNIT $SALE]]</f>
        <v>30000</v>
      </c>
      <c r="O17" s="98">
        <f>TabSpecificationWork_2[[#This Row],[PRICE UNIT $TOTAL]] * TabSpecificationWork_2[[#This Row],[VAT RATE CONTRACTOR $TOTAL]]</f>
        <v>6600</v>
      </c>
      <c r="P17" s="98">
        <f>TabSpecificationWork_2[[#This Row],[PRICE UNIT $TOTAL]] + TabSpecificationWork_2[[#This Row],[VAT ADD PRICE UNIT $TOTAL]]</f>
        <v>36600</v>
      </c>
      <c r="Q17" s="92">
        <f>TabSpecificationWork_2[[#This Row],[COST DEAL $SALE]]-TabSpecificationWork_2[[#This Row],[DISCOUNT MONEY]]</f>
        <v>30000</v>
      </c>
      <c r="R17" s="91">
        <f>TabSpecificationWork_2[[#This Row],[COST $TOTAL]] * TabSpecificationWork_2[[#This Row],[VAT RATE CONTRACTOR $TOTAL]]</f>
        <v>6600</v>
      </c>
      <c r="S17" s="92">
        <f>TabSpecificationWork_2[[#This Row],[COST $TOTAL]] + TabSpecificationWork_2[[#This Row],[COST ADD VAT $TOTAL]]</f>
        <v>36600</v>
      </c>
      <c r="T17" s="94">
        <v>7</v>
      </c>
      <c r="U17" s="95" t="s">
        <v>35</v>
      </c>
      <c r="V17" s="95" t="s">
        <v>35</v>
      </c>
      <c r="W17" s="96"/>
    </row>
    <row r="18" spans="1:23" ht="115.2" hidden="1" x14ac:dyDescent="0.3">
      <c r="A18" s="31" t="str">
        <v>Инжиниринг проектный - КД</v>
      </c>
      <c r="B18" s="6" t="str">
        <v>3.101.3</v>
      </c>
      <c r="C18" s="6">
        <v>1</v>
      </c>
      <c r="D18" s="31" t="str">
        <v>Разработка ТЗ №2 на адаптацию ПТК к данной модели.
Гибридный (спираль/постамат) вендинговый аппарат, модель Wate Tecnology L8050 stand-alone/master</v>
      </c>
      <c r="E18" s="15" t="str">
        <v>8/2026-n3-горизонт-ver_1-set_3.101.3-false</v>
      </c>
      <c r="F18" s="85" t="str">
        <f t="shared" si="1"/>
        <v>8/2026-n3-горизонт-ver_1-set_3.101.3-false</v>
      </c>
      <c r="G18" s="98">
        <f>30/20</f>
        <v>1.5</v>
      </c>
      <c r="H18" s="87">
        <f>TabSpecificationWork_2[[#This Row],[COEFFICIENT MARKUP]]*TabSpecificationWork_1[[#This Row],[PRICE UNIT $PURCHASE]]</f>
        <v>30000</v>
      </c>
      <c r="I18" s="99">
        <f>TabSpecificationWork_1[[#This Row],[QUANTITY TOTAL]]*TabSpecificationWork_2[[#This Row],[PRICE UNIT $SALE]]</f>
        <v>30000</v>
      </c>
      <c r="J18" s="88">
        <v>0</v>
      </c>
      <c r="K18" s="88">
        <f>(TabSpecificationWork_2[[#This Row],[COST DEAL $SALE]]/100)*TabSpecificationWork_2[[#This Row],[DISCOUNT PERCENT]]</f>
        <v>0</v>
      </c>
      <c r="L18" s="89"/>
      <c r="M18" s="90">
        <f>_xlfn.LET(
    _xlpm.projNum, _xlfn.XLOOKUP(TabSpecificationWork_2[[#This Row],[HASH COLLECTION]], TabSpecificationWork_1[HASH COLLECTION], TabSpecificationWork_1[NUM PROJECT], ""),
    _xlpm.company, UPPER(TRIM(_xlfn.TEXTAFTER(_xlpm.projNum, "-", 2))),
    IF(_xlpm.company="ГОРИЗОНТ", 0.22, 0)
)</f>
        <v>0.22</v>
      </c>
      <c r="N18" s="98">
        <f>TabSpecificationWork_2[[#This Row],[PRICE UNIT $SALE]]</f>
        <v>30000</v>
      </c>
      <c r="O18" s="98">
        <f>TabSpecificationWork_2[[#This Row],[PRICE UNIT $TOTAL]] * TabSpecificationWork_2[[#This Row],[VAT RATE CONTRACTOR $TOTAL]]</f>
        <v>6600</v>
      </c>
      <c r="P18" s="98">
        <f>TabSpecificationWork_2[[#This Row],[PRICE UNIT $TOTAL]] + TabSpecificationWork_2[[#This Row],[VAT ADD PRICE UNIT $TOTAL]]</f>
        <v>36600</v>
      </c>
      <c r="Q18" s="92">
        <f>TabSpecificationWork_2[[#This Row],[COST DEAL $SALE]]-TabSpecificationWork_2[[#This Row],[DISCOUNT MONEY]]</f>
        <v>30000</v>
      </c>
      <c r="R18" s="91">
        <f>TabSpecificationWork_2[[#This Row],[COST $TOTAL]] * TabSpecificationWork_2[[#This Row],[VAT RATE CONTRACTOR $TOTAL]]</f>
        <v>6600</v>
      </c>
      <c r="S18" s="92">
        <f>TabSpecificationWork_2[[#This Row],[COST $TOTAL]] + TabSpecificationWork_2[[#This Row],[COST ADD VAT $TOTAL]]</f>
        <v>36600</v>
      </c>
      <c r="T18" s="94">
        <v>7</v>
      </c>
      <c r="U18" s="95" t="s">
        <v>35</v>
      </c>
      <c r="V18" s="95" t="s">
        <v>35</v>
      </c>
      <c r="W18" s="96"/>
    </row>
    <row r="19" spans="1:23" ht="129.6" hidden="1" x14ac:dyDescent="0.3">
      <c r="A19" s="31" t="str">
        <v>Инжиниринг проектный - АСУ</v>
      </c>
      <c r="B19" s="6" t="str">
        <v>3.102.1</v>
      </c>
      <c r="C19" s="6">
        <v>1</v>
      </c>
      <c r="D19" s="31" t="str">
        <v>Адаптация, комплектование и сборка ПТК в соответствии с ТЗ №2.
Гибридный (спираль/постамат) вендинговый аппарат, модель Wate Tecnology L8050 stand-alone/master</v>
      </c>
      <c r="E19" s="15" t="str">
        <v>8/2026-n3-горизонт-ver_1-set_3.102.1-false</v>
      </c>
      <c r="F19" s="85" t="str">
        <f t="shared" si="1"/>
        <v>8/2026-n3-горизонт-ver_1-set_3.102.1-false</v>
      </c>
      <c r="G19" s="98">
        <v>3.2</v>
      </c>
      <c r="H19" s="87">
        <f>TabSpecificationWork_2[[#This Row],[COEFFICIENT MARKUP]]*TabSpecificationWork_1[[#This Row],[PRICE UNIT $PURCHASE]]</f>
        <v>2560000</v>
      </c>
      <c r="I19" s="99">
        <f>TabSpecificationWork_1[[#This Row],[QUANTITY TOTAL]]*TabSpecificationWork_2[[#This Row],[PRICE UNIT $SALE]]</f>
        <v>2560000</v>
      </c>
      <c r="J19" s="88">
        <v>0</v>
      </c>
      <c r="K19" s="88">
        <f>(TabSpecificationWork_2[[#This Row],[COST DEAL $SALE]]/100)*TabSpecificationWork_2[[#This Row],[DISCOUNT PERCENT]]</f>
        <v>0</v>
      </c>
      <c r="L19" s="89"/>
      <c r="M19" s="90">
        <f>_xlfn.LET(
    _xlpm.projNum, _xlfn.XLOOKUP(TabSpecificationWork_2[[#This Row],[HASH COLLECTION]], TabSpecificationWork_1[HASH COLLECTION], TabSpecificationWork_1[NUM PROJECT], ""),
    _xlpm.company, UPPER(TRIM(_xlfn.TEXTAFTER(_xlpm.projNum, "-", 2))),
    IF(_xlpm.company="ГОРИЗОНТ", 0.22, 0)
)</f>
        <v>0.22</v>
      </c>
      <c r="N19" s="98">
        <f>TabSpecificationWork_2[[#This Row],[PRICE UNIT $SALE]]</f>
        <v>2560000</v>
      </c>
      <c r="O19" s="98">
        <f>TabSpecificationWork_2[[#This Row],[PRICE UNIT $TOTAL]] * TabSpecificationWork_2[[#This Row],[VAT RATE CONTRACTOR $TOTAL]]</f>
        <v>563200</v>
      </c>
      <c r="P19" s="98">
        <f>TabSpecificationWork_2[[#This Row],[PRICE UNIT $TOTAL]] + TabSpecificationWork_2[[#This Row],[VAT ADD PRICE UNIT $TOTAL]]</f>
        <v>3123200</v>
      </c>
      <c r="Q19" s="92">
        <f>TabSpecificationWork_2[[#This Row],[COST DEAL $SALE]]-TabSpecificationWork_2[[#This Row],[DISCOUNT MONEY]]</f>
        <v>2560000</v>
      </c>
      <c r="R19" s="91">
        <f>TabSpecificationWork_2[[#This Row],[COST $TOTAL]] * TabSpecificationWork_2[[#This Row],[VAT RATE CONTRACTOR $TOTAL]]</f>
        <v>563200</v>
      </c>
      <c r="S19" s="92">
        <f>TabSpecificationWork_2[[#This Row],[COST $TOTAL]] + TabSpecificationWork_2[[#This Row],[COST ADD VAT $TOTAL]]</f>
        <v>3123200</v>
      </c>
      <c r="T19" s="94">
        <v>108</v>
      </c>
      <c r="U19" s="95" t="s">
        <v>35</v>
      </c>
      <c r="V19" s="95" t="s">
        <v>35</v>
      </c>
      <c r="W19" s="96"/>
    </row>
    <row r="20" spans="1:23" ht="129.6" hidden="1" x14ac:dyDescent="0.3">
      <c r="A20" s="31" t="str">
        <v>Инжиниринг постпроектный - КД</v>
      </c>
      <c r="B20" s="6" t="str">
        <v>3.103.1</v>
      </c>
      <c r="C20" s="6">
        <v>1</v>
      </c>
      <c r="D20" s="31" t="str">
        <v>Комплексное тестирование аппарата на базе новой системы управления.
Гибридный (спираль/постамат) вендинговый аппарат, модель Wate Tecnology L8050 stand-alone/master</v>
      </c>
      <c r="E20" s="15" t="str">
        <v>8/2026-n3-горизонт-ver_1-set_3.103.1-false</v>
      </c>
      <c r="F20" s="85" t="str">
        <f t="shared" si="1"/>
        <v>8/2026-n3-горизонт-ver_1-set_3.103.1-false</v>
      </c>
      <c r="G20" s="98">
        <v>1.17</v>
      </c>
      <c r="H20" s="87">
        <f>TabSpecificationWork_2[[#This Row],[COEFFICIENT MARKUP]]*TabSpecificationWork_1[[#This Row],[PRICE UNIT $PURCHASE]]</f>
        <v>351000</v>
      </c>
      <c r="I20" s="87">
        <f>TabSpecificationWork_1[[#This Row],[QUANTITY TOTAL]]*TabSpecificationWork_2[[#This Row],[PRICE UNIT $SALE]]</f>
        <v>351000</v>
      </c>
      <c r="J20" s="88">
        <v>0</v>
      </c>
      <c r="K20" s="88">
        <f>(TabSpecificationWork_2[[#This Row],[COST DEAL $SALE]]/100)*TabSpecificationWork_2[[#This Row],[DISCOUNT PERCENT]]</f>
        <v>0</v>
      </c>
      <c r="L20" s="89"/>
      <c r="M20" s="90">
        <f>_xlfn.LET(
    _xlpm.projNum, _xlfn.XLOOKUP(TabSpecificationWork_2[[#This Row],[HASH COLLECTION]], TabSpecificationWork_1[HASH COLLECTION], TabSpecificationWork_1[NUM PROJECT], ""),
    _xlpm.company, UPPER(TRIM(_xlfn.TEXTAFTER(_xlpm.projNum, "-", 2))),
    IF(_xlpm.company="ГОРИЗОНТ", 0.22, 0)
)</f>
        <v>0.22</v>
      </c>
      <c r="N20" s="98">
        <f>TabSpecificationWork_2[[#This Row],[PRICE UNIT $SALE]]</f>
        <v>351000</v>
      </c>
      <c r="O20" s="98">
        <f>TabSpecificationWork_2[[#This Row],[PRICE UNIT $TOTAL]] * TabSpecificationWork_2[[#This Row],[VAT RATE CONTRACTOR $TOTAL]]</f>
        <v>77220</v>
      </c>
      <c r="P20" s="98">
        <f>TabSpecificationWork_2[[#This Row],[PRICE UNIT $TOTAL]] + TabSpecificationWork_2[[#This Row],[VAT ADD PRICE UNIT $TOTAL]]</f>
        <v>428220</v>
      </c>
      <c r="Q20" s="92">
        <f>TabSpecificationWork_2[[#This Row],[COST DEAL $SALE]]-TabSpecificationWork_2[[#This Row],[DISCOUNT MONEY]]</f>
        <v>351000</v>
      </c>
      <c r="R20" s="91">
        <f>TabSpecificationWork_2[[#This Row],[COST $TOTAL]] * TabSpecificationWork_2[[#This Row],[VAT RATE CONTRACTOR $TOTAL]]</f>
        <v>77220</v>
      </c>
      <c r="S20" s="92">
        <f>TabSpecificationWork_2[[#This Row],[COST $TOTAL]] + TabSpecificationWork_2[[#This Row],[COST ADD VAT $TOTAL]]</f>
        <v>428220</v>
      </c>
      <c r="T20" s="94">
        <v>14</v>
      </c>
      <c r="U20" s="95" t="s">
        <v>35</v>
      </c>
      <c r="V20" s="95" t="s">
        <v>35</v>
      </c>
      <c r="W20" s="96" t="s">
        <v>660</v>
      </c>
    </row>
    <row r="21" spans="1:23" ht="115.2" x14ac:dyDescent="0.3">
      <c r="A21" s="31" t="str">
        <v>Инжиниринг проектный - КД</v>
      </c>
      <c r="B21" s="6" t="str">
        <v>3.201.1</v>
      </c>
      <c r="C21" s="6">
        <v>1</v>
      </c>
      <c r="D21" s="31" t="str">
        <v>Инженерный анализ существующей конструкции изделия.
Гибридный (спираль/постамат) вендинговый аппарат, модель Wate Tecnology L8050/master</v>
      </c>
      <c r="E21" s="15" t="str">
        <v>8/2026-n3-горизонт-ver_1-set_3.201.1-true</v>
      </c>
      <c r="F21" s="85" t="str">
        <f t="shared" si="1"/>
        <v>8/2026-n3-горизонт-ver_1-set_3.201.1-true</v>
      </c>
      <c r="G21" s="98">
        <f>150/100</f>
        <v>1.5</v>
      </c>
      <c r="H21" s="87">
        <f>TabSpecificationWork_2[[#This Row],[COEFFICIENT MARKUP]]*TabSpecificationWork_1[[#This Row],[PRICE UNIT $PURCHASE]]</f>
        <v>150000</v>
      </c>
      <c r="I21" s="99">
        <f>TabSpecificationWork_1[[#This Row],[QUANTITY TOTAL]]*TabSpecificationWork_2[[#This Row],[PRICE UNIT $SALE]]</f>
        <v>150000</v>
      </c>
      <c r="J21" s="88">
        <v>0</v>
      </c>
      <c r="K21" s="88">
        <f>(TabSpecificationWork_2[[#This Row],[COST DEAL $SALE]]/100)*TabSpecificationWork_2[[#This Row],[DISCOUNT PERCENT]]</f>
        <v>0</v>
      </c>
      <c r="L21" s="89"/>
      <c r="M21" s="90">
        <f>_xlfn.LET(
    _xlpm.projNum, _xlfn.XLOOKUP(TabSpecificationWork_2[[#This Row],[HASH COLLECTION]], TabSpecificationWork_1[HASH COLLECTION], TabSpecificationWork_1[NUM PROJECT], ""),
    _xlpm.company, UPPER(TRIM(_xlfn.TEXTAFTER(_xlpm.projNum, "-", 2))),
    IF(_xlpm.company="ГОРИЗОНТ", 0.22, 0)
)</f>
        <v>0.22</v>
      </c>
      <c r="N21" s="98">
        <f>TabSpecificationWork_2[[#This Row],[PRICE UNIT $SALE]]</f>
        <v>150000</v>
      </c>
      <c r="O21" s="98">
        <f>TabSpecificationWork_2[[#This Row],[PRICE UNIT $TOTAL]] * TabSpecificationWork_2[[#This Row],[VAT RATE CONTRACTOR $TOTAL]]</f>
        <v>33000</v>
      </c>
      <c r="P21" s="98">
        <f>TabSpecificationWork_2[[#This Row],[PRICE UNIT $TOTAL]] + TabSpecificationWork_2[[#This Row],[VAT ADD PRICE UNIT $TOTAL]]</f>
        <v>183000</v>
      </c>
      <c r="Q21" s="92">
        <f>TabSpecificationWork_2[[#This Row],[COST DEAL $SALE]]-TabSpecificationWork_2[[#This Row],[DISCOUNT MONEY]]</f>
        <v>150000</v>
      </c>
      <c r="R21" s="98">
        <f>TabSpecificationWork_2[[#This Row],[COST $TOTAL]] * TabSpecificationWork_2[[#This Row],[VAT RATE CONTRACTOR $TOTAL]]</f>
        <v>33000</v>
      </c>
      <c r="S21" s="92">
        <f>TabSpecificationWork_2[[#This Row],[COST $TOTAL]] + TabSpecificationWork_2[[#This Row],[COST ADD VAT $TOTAL]]</f>
        <v>183000</v>
      </c>
      <c r="T21" s="94">
        <v>14</v>
      </c>
      <c r="U21" s="95" t="s">
        <v>29</v>
      </c>
      <c r="V21" s="95" t="s">
        <v>35</v>
      </c>
      <c r="W21" s="96"/>
    </row>
    <row r="22" spans="1:23" ht="100.8" x14ac:dyDescent="0.3">
      <c r="A22" s="31" t="str">
        <v>Инжиниринг предпроектный - КД</v>
      </c>
      <c r="B22" s="6" t="str">
        <v>3.201.2</v>
      </c>
      <c r="C22" s="6">
        <v>1</v>
      </c>
      <c r="D22" s="31" t="str">
        <v>Разработка ТЗ №1 на изделие в целом.
Гибридный (спираль/постамат) вендинговый аппарат, модель Wate Tecnology L8050/master</v>
      </c>
      <c r="E22" s="15" t="str">
        <v>8/2026-n3-горизонт-ver_1-set_3.201.2-true</v>
      </c>
      <c r="F22" s="85" t="str">
        <f t="shared" ref="F22:F70" si="2">E22</f>
        <v>8/2026-n3-горизонт-ver_1-set_3.201.2-true</v>
      </c>
      <c r="G22" s="98">
        <f>30/20</f>
        <v>1.5</v>
      </c>
      <c r="H22" s="87">
        <f>TabSpecificationWork_2[[#This Row],[COEFFICIENT MARKUP]]*TabSpecificationWork_1[[#This Row],[PRICE UNIT $PURCHASE]]</f>
        <v>30000</v>
      </c>
      <c r="I22" s="99">
        <f>TabSpecificationWork_1[[#This Row],[QUANTITY TOTAL]]*TabSpecificationWork_2[[#This Row],[PRICE UNIT $SALE]]</f>
        <v>30000</v>
      </c>
      <c r="J22" s="88">
        <v>0</v>
      </c>
      <c r="K22" s="88">
        <f>(TabSpecificationWork_2[[#This Row],[COST DEAL $SALE]]/100)*TabSpecificationWork_2[[#This Row],[DISCOUNT PERCENT]]</f>
        <v>0</v>
      </c>
      <c r="L22" s="89"/>
      <c r="M22" s="90">
        <f>_xlfn.LET(
    _xlpm.projNum, _xlfn.XLOOKUP(TabSpecificationWork_2[[#This Row],[HASH COLLECTION]], TabSpecificationWork_1[HASH COLLECTION], TabSpecificationWork_1[NUM PROJECT], ""),
    _xlpm.company, UPPER(TRIM(_xlfn.TEXTAFTER(_xlpm.projNum, "-", 2))),
    IF(_xlpm.company="ГОРИЗОНТ", 0.22, 0)
)</f>
        <v>0.22</v>
      </c>
      <c r="N22" s="98">
        <f>TabSpecificationWork_2[[#This Row],[PRICE UNIT $SALE]]</f>
        <v>30000</v>
      </c>
      <c r="O22" s="98">
        <f>TabSpecificationWork_2[[#This Row],[PRICE UNIT $TOTAL]] * TabSpecificationWork_2[[#This Row],[VAT RATE CONTRACTOR $TOTAL]]</f>
        <v>6600</v>
      </c>
      <c r="P22" s="98">
        <f>TabSpecificationWork_2[[#This Row],[PRICE UNIT $TOTAL]] + TabSpecificationWork_2[[#This Row],[VAT ADD PRICE UNIT $TOTAL]]</f>
        <v>36600</v>
      </c>
      <c r="Q22" s="92">
        <f>TabSpecificationWork_2[[#This Row],[COST DEAL $SALE]]-TabSpecificationWork_2[[#This Row],[DISCOUNT MONEY]]</f>
        <v>30000</v>
      </c>
      <c r="R22" s="98">
        <f>TabSpecificationWork_2[[#This Row],[COST $TOTAL]] * TabSpecificationWork_2[[#This Row],[VAT RATE CONTRACTOR $TOTAL]]</f>
        <v>6600</v>
      </c>
      <c r="S22" s="92">
        <f>TabSpecificationWork_2[[#This Row],[COST $TOTAL]] + TabSpecificationWork_2[[#This Row],[COST ADD VAT $TOTAL]]</f>
        <v>36600</v>
      </c>
      <c r="T22" s="94">
        <v>7</v>
      </c>
      <c r="U22" s="95" t="s">
        <v>29</v>
      </c>
      <c r="V22" s="95" t="s">
        <v>35</v>
      </c>
      <c r="W22" s="96"/>
    </row>
    <row r="23" spans="1:23" ht="115.2" x14ac:dyDescent="0.3">
      <c r="A23" s="31" t="str">
        <v>Инжиниринг проектный - КД</v>
      </c>
      <c r="B23" s="6" t="str">
        <v>3.201.3</v>
      </c>
      <c r="C23" s="6">
        <v>1</v>
      </c>
      <c r="D23" s="31" t="str">
        <v>Разработка ТЗ №2 на адаптацию ПТК к данной модели.
Гибридный (спираль/постамат) вендинговый аппарат, модель Wate Tecnology L8050/master</v>
      </c>
      <c r="E23" s="15" t="str">
        <v>8/2026-n3-горизонт-ver_1-set_3.201.3-true</v>
      </c>
      <c r="F23" s="85" t="str">
        <f t="shared" si="2"/>
        <v>8/2026-n3-горизонт-ver_1-set_3.201.3-true</v>
      </c>
      <c r="G23" s="98">
        <f>30/20</f>
        <v>1.5</v>
      </c>
      <c r="H23" s="87">
        <f>TabSpecificationWork_2[[#This Row],[COEFFICIENT MARKUP]]*TabSpecificationWork_1[[#This Row],[PRICE UNIT $PURCHASE]]</f>
        <v>30000</v>
      </c>
      <c r="I23" s="99">
        <f>TabSpecificationWork_1[[#This Row],[QUANTITY TOTAL]]*TabSpecificationWork_2[[#This Row],[PRICE UNIT $SALE]]</f>
        <v>30000</v>
      </c>
      <c r="J23" s="88">
        <v>0</v>
      </c>
      <c r="K23" s="88">
        <f>(TabSpecificationWork_2[[#This Row],[COST DEAL $SALE]]/100)*TabSpecificationWork_2[[#This Row],[DISCOUNT PERCENT]]</f>
        <v>0</v>
      </c>
      <c r="L23" s="89"/>
      <c r="M23" s="90">
        <f>_xlfn.LET(
    _xlpm.projNum, _xlfn.XLOOKUP(TabSpecificationWork_2[[#This Row],[HASH COLLECTION]], TabSpecificationWork_1[HASH COLLECTION], TabSpecificationWork_1[NUM PROJECT], ""),
    _xlpm.company, UPPER(TRIM(_xlfn.TEXTAFTER(_xlpm.projNum, "-", 2))),
    IF(_xlpm.company="ГОРИЗОНТ", 0.22, 0)
)</f>
        <v>0.22</v>
      </c>
      <c r="N23" s="98">
        <f>TabSpecificationWork_2[[#This Row],[PRICE UNIT $SALE]]</f>
        <v>30000</v>
      </c>
      <c r="O23" s="98">
        <f>TabSpecificationWork_2[[#This Row],[PRICE UNIT $TOTAL]] * TabSpecificationWork_2[[#This Row],[VAT RATE CONTRACTOR $TOTAL]]</f>
        <v>6600</v>
      </c>
      <c r="P23" s="98">
        <f>TabSpecificationWork_2[[#This Row],[PRICE UNIT $TOTAL]] + TabSpecificationWork_2[[#This Row],[VAT ADD PRICE UNIT $TOTAL]]</f>
        <v>36600</v>
      </c>
      <c r="Q23" s="92">
        <f>TabSpecificationWork_2[[#This Row],[COST DEAL $SALE]]-TabSpecificationWork_2[[#This Row],[DISCOUNT MONEY]]</f>
        <v>30000</v>
      </c>
      <c r="R23" s="98">
        <f>TabSpecificationWork_2[[#This Row],[COST $TOTAL]] * TabSpecificationWork_2[[#This Row],[VAT RATE CONTRACTOR $TOTAL]]</f>
        <v>6600</v>
      </c>
      <c r="S23" s="92">
        <f>TabSpecificationWork_2[[#This Row],[COST $TOTAL]] + TabSpecificationWork_2[[#This Row],[COST ADD VAT $TOTAL]]</f>
        <v>36600</v>
      </c>
      <c r="T23" s="94">
        <v>7</v>
      </c>
      <c r="U23" s="95" t="s">
        <v>29</v>
      </c>
      <c r="V23" s="95" t="s">
        <v>35</v>
      </c>
      <c r="W23" s="96"/>
    </row>
    <row r="24" spans="1:23" ht="129.6" x14ac:dyDescent="0.3">
      <c r="A24" s="31" t="str">
        <v>Инжиниринг проектный - АСУ</v>
      </c>
      <c r="B24" s="6" t="str">
        <v>3.202.1</v>
      </c>
      <c r="C24" s="6">
        <v>1</v>
      </c>
      <c r="D24" s="31" t="str">
        <v>Адаптация, комплектование и сборка ПТК в соответствии с ТЗ №2.
Гибридный (спираль/постамат) вендинговый аппарат, модель Wate Tecnology L8050/master</v>
      </c>
      <c r="E24" s="15" t="str">
        <v>8/2026-n3-горизонт-ver_1-set_3.202.1-true</v>
      </c>
      <c r="F24" s="85" t="str">
        <f t="shared" si="2"/>
        <v>8/2026-n3-горизонт-ver_1-set_3.202.1-true</v>
      </c>
      <c r="G24" s="98">
        <v>3.2</v>
      </c>
      <c r="H24" s="87">
        <f>TabSpecificationWork_2[[#This Row],[COEFFICIENT MARKUP]]*TabSpecificationWork_1[[#This Row],[PRICE UNIT $PURCHASE]]</f>
        <v>2560000</v>
      </c>
      <c r="I24" s="99">
        <f>TabSpecificationWork_1[[#This Row],[QUANTITY TOTAL]]*TabSpecificationWork_2[[#This Row],[PRICE UNIT $SALE]]</f>
        <v>2560000</v>
      </c>
      <c r="J24" s="88">
        <v>0</v>
      </c>
      <c r="K24" s="88">
        <f>(TabSpecificationWork_2[[#This Row],[COST DEAL $SALE]]/100)*TabSpecificationWork_2[[#This Row],[DISCOUNT PERCENT]]</f>
        <v>0</v>
      </c>
      <c r="L24" s="89"/>
      <c r="M24" s="90">
        <f>_xlfn.LET(
    _xlpm.projNum, _xlfn.XLOOKUP(TabSpecificationWork_2[[#This Row],[HASH COLLECTION]], TabSpecificationWork_1[HASH COLLECTION], TabSpecificationWork_1[NUM PROJECT], ""),
    _xlpm.company, UPPER(TRIM(_xlfn.TEXTAFTER(_xlpm.projNum, "-", 2))),
    IF(_xlpm.company="ГОРИЗОНТ", 0.22, 0)
)</f>
        <v>0.22</v>
      </c>
      <c r="N24" s="98">
        <f>TabSpecificationWork_2[[#This Row],[PRICE UNIT $SALE]]</f>
        <v>2560000</v>
      </c>
      <c r="O24" s="98">
        <f>TabSpecificationWork_2[[#This Row],[PRICE UNIT $TOTAL]] * TabSpecificationWork_2[[#This Row],[VAT RATE CONTRACTOR $TOTAL]]</f>
        <v>563200</v>
      </c>
      <c r="P24" s="98">
        <f>TabSpecificationWork_2[[#This Row],[PRICE UNIT $TOTAL]] + TabSpecificationWork_2[[#This Row],[VAT ADD PRICE UNIT $TOTAL]]</f>
        <v>3123200</v>
      </c>
      <c r="Q24" s="92">
        <f>TabSpecificationWork_2[[#This Row],[COST DEAL $SALE]]-TabSpecificationWork_2[[#This Row],[DISCOUNT MONEY]]</f>
        <v>2560000</v>
      </c>
      <c r="R24" s="98">
        <f>TabSpecificationWork_2[[#This Row],[COST $TOTAL]] * TabSpecificationWork_2[[#This Row],[VAT RATE CONTRACTOR $TOTAL]]</f>
        <v>563200</v>
      </c>
      <c r="S24" s="92">
        <f>TabSpecificationWork_2[[#This Row],[COST $TOTAL]] + TabSpecificationWork_2[[#This Row],[COST ADD VAT $TOTAL]]</f>
        <v>3123200</v>
      </c>
      <c r="T24" s="94">
        <v>108</v>
      </c>
      <c r="U24" s="95" t="s">
        <v>29</v>
      </c>
      <c r="V24" s="95" t="s">
        <v>35</v>
      </c>
      <c r="W24" s="96"/>
    </row>
    <row r="25" spans="1:23" ht="129.6" x14ac:dyDescent="0.3">
      <c r="A25" s="31" t="str">
        <v>Инжиниринг постпроектный - КД</v>
      </c>
      <c r="B25" s="6" t="str">
        <v>3.203.1</v>
      </c>
      <c r="C25" s="6">
        <v>1</v>
      </c>
      <c r="D25" s="31" t="str">
        <v>Комплексное тестирование аппарата на базе новой системы управления.
Гибридный (спираль/постамат) вендинговый аппарат, модель Wate Tecnology L8050/master</v>
      </c>
      <c r="E25" s="15" t="str">
        <v>8/2026-n3-горизонт-ver_1-set_3.203.1-true</v>
      </c>
      <c r="F25" s="85" t="str">
        <f t="shared" si="2"/>
        <v>8/2026-n3-горизонт-ver_1-set_3.203.1-true</v>
      </c>
      <c r="G25" s="98">
        <v>1.17</v>
      </c>
      <c r="H25" s="87">
        <f>TabSpecificationWork_2[[#This Row],[COEFFICIENT MARKUP]]*TabSpecificationWork_1[[#This Row],[PRICE UNIT $PURCHASE]]</f>
        <v>351000</v>
      </c>
      <c r="I25" s="99">
        <f>TabSpecificationWork_1[[#This Row],[QUANTITY TOTAL]]*TabSpecificationWork_2[[#This Row],[PRICE UNIT $SALE]]</f>
        <v>351000</v>
      </c>
      <c r="J25" s="88">
        <v>0</v>
      </c>
      <c r="K25" s="88">
        <f>(TabSpecificationWork_2[[#This Row],[COST DEAL $SALE]]/100)*TabSpecificationWork_2[[#This Row],[DISCOUNT PERCENT]]</f>
        <v>0</v>
      </c>
      <c r="L25" s="89"/>
      <c r="M25" s="90">
        <f>_xlfn.LET(
    _xlpm.projNum, _xlfn.XLOOKUP(TabSpecificationWork_2[[#This Row],[HASH COLLECTION]], TabSpecificationWork_1[HASH COLLECTION], TabSpecificationWork_1[NUM PROJECT], ""),
    _xlpm.company, UPPER(TRIM(_xlfn.TEXTAFTER(_xlpm.projNum, "-", 2))),
    IF(_xlpm.company="ГОРИЗОНТ", 0.22, 0)
)</f>
        <v>0.22</v>
      </c>
      <c r="N25" s="98">
        <f>TabSpecificationWork_2[[#This Row],[PRICE UNIT $SALE]]</f>
        <v>351000</v>
      </c>
      <c r="O25" s="98">
        <f>TabSpecificationWork_2[[#This Row],[PRICE UNIT $TOTAL]] * TabSpecificationWork_2[[#This Row],[VAT RATE CONTRACTOR $TOTAL]]</f>
        <v>77220</v>
      </c>
      <c r="P25" s="98">
        <f>TabSpecificationWork_2[[#This Row],[PRICE UNIT $TOTAL]] + TabSpecificationWork_2[[#This Row],[VAT ADD PRICE UNIT $TOTAL]]</f>
        <v>428220</v>
      </c>
      <c r="Q25" s="92">
        <f>TabSpecificationWork_2[[#This Row],[COST DEAL $SALE]]-TabSpecificationWork_2[[#This Row],[DISCOUNT MONEY]]</f>
        <v>351000</v>
      </c>
      <c r="R25" s="98">
        <f>TabSpecificationWork_2[[#This Row],[COST $TOTAL]] * TabSpecificationWork_2[[#This Row],[VAT RATE CONTRACTOR $TOTAL]]</f>
        <v>77220</v>
      </c>
      <c r="S25" s="92">
        <f>TabSpecificationWork_2[[#This Row],[COST $TOTAL]] + TabSpecificationWork_2[[#This Row],[COST ADD VAT $TOTAL]]</f>
        <v>428220</v>
      </c>
      <c r="T25" s="94">
        <v>14</v>
      </c>
      <c r="U25" s="95" t="s">
        <v>29</v>
      </c>
      <c r="V25" s="95" t="s">
        <v>35</v>
      </c>
      <c r="W25" s="96" t="s">
        <v>660</v>
      </c>
    </row>
    <row r="26" spans="1:23" ht="86.4" x14ac:dyDescent="0.3">
      <c r="A26" s="31" t="str">
        <v>Инжиниринг проектный - КД</v>
      </c>
      <c r="B26" s="6" t="str">
        <v>3.301.1</v>
      </c>
      <c r="C26" s="6">
        <v>1</v>
      </c>
      <c r="D26" s="31" t="str">
        <v>Инженерный анализ существующей конструкции изделия.
Спиральный вендинговый аппарат, модель Wate Tecnology  L80/master</v>
      </c>
      <c r="E26" s="15" t="str">
        <v>8/2026-n3-горизонт-ver_1-set_3.301.1-true</v>
      </c>
      <c r="F26" s="85" t="str">
        <f t="shared" si="2"/>
        <v>8/2026-n3-горизонт-ver_1-set_3.301.1-true</v>
      </c>
      <c r="G26" s="98">
        <f>150/100</f>
        <v>1.5</v>
      </c>
      <c r="H26" s="87">
        <f>TabSpecificationWork_2[[#This Row],[COEFFICIENT MARKUP]]*TabSpecificationWork_1[[#This Row],[PRICE UNIT $PURCHASE]]</f>
        <v>150000</v>
      </c>
      <c r="I26" s="99">
        <f>TabSpecificationWork_1[[#This Row],[QUANTITY TOTAL]]*TabSpecificationWork_2[[#This Row],[PRICE UNIT $SALE]]</f>
        <v>150000</v>
      </c>
      <c r="J26" s="88">
        <v>0</v>
      </c>
      <c r="K26" s="88">
        <f>(TabSpecificationWork_2[[#This Row],[COST DEAL $SALE]]/100)*TabSpecificationWork_2[[#This Row],[DISCOUNT PERCENT]]</f>
        <v>0</v>
      </c>
      <c r="L26" s="89"/>
      <c r="M26" s="90">
        <f>_xlfn.LET(
    _xlpm.projNum, _xlfn.XLOOKUP(TabSpecificationWork_2[[#This Row],[HASH COLLECTION]], TabSpecificationWork_1[HASH COLLECTION], TabSpecificationWork_1[NUM PROJECT], ""),
    _xlpm.company, UPPER(TRIM(_xlfn.TEXTAFTER(_xlpm.projNum, "-", 2))),
    IF(_xlpm.company="ГОРИЗОНТ", 0.22, 0)
)</f>
        <v>0.22</v>
      </c>
      <c r="N26" s="98">
        <f>TabSpecificationWork_2[[#This Row],[PRICE UNIT $SALE]]</f>
        <v>150000</v>
      </c>
      <c r="O26" s="98">
        <f>TabSpecificationWork_2[[#This Row],[PRICE UNIT $TOTAL]] * TabSpecificationWork_2[[#This Row],[VAT RATE CONTRACTOR $TOTAL]]</f>
        <v>33000</v>
      </c>
      <c r="P26" s="98">
        <f>TabSpecificationWork_2[[#This Row],[PRICE UNIT $TOTAL]] + TabSpecificationWork_2[[#This Row],[VAT ADD PRICE UNIT $TOTAL]]</f>
        <v>183000</v>
      </c>
      <c r="Q26" s="92">
        <f>TabSpecificationWork_2[[#This Row],[COST DEAL $SALE]]-TabSpecificationWork_2[[#This Row],[DISCOUNT MONEY]]</f>
        <v>150000</v>
      </c>
      <c r="R26" s="98">
        <f>TabSpecificationWork_2[[#This Row],[COST $TOTAL]] * TabSpecificationWork_2[[#This Row],[VAT RATE CONTRACTOR $TOTAL]]</f>
        <v>33000</v>
      </c>
      <c r="S26" s="92">
        <f>TabSpecificationWork_2[[#This Row],[COST $TOTAL]] + TabSpecificationWork_2[[#This Row],[COST ADD VAT $TOTAL]]</f>
        <v>183000</v>
      </c>
      <c r="T26" s="94">
        <v>14</v>
      </c>
      <c r="U26" s="95" t="s">
        <v>29</v>
      </c>
      <c r="V26" s="95" t="s">
        <v>35</v>
      </c>
      <c r="W26" s="96"/>
    </row>
    <row r="27" spans="1:23" ht="72" x14ac:dyDescent="0.3">
      <c r="A27" s="31" t="str">
        <v>Инжиниринг предпроектный - КД</v>
      </c>
      <c r="B27" s="6" t="str">
        <v>3.301.2</v>
      </c>
      <c r="C27" s="6">
        <v>1</v>
      </c>
      <c r="D27" s="31" t="str">
        <v>Разработка ТЗ №1 на изделие в целом.
Спиральный вендинговый аппарат, модель Wate Tecnology  L80/master</v>
      </c>
      <c r="E27" s="15" t="str">
        <v>8/2026-n3-горизонт-ver_1-set_3.301.2-true</v>
      </c>
      <c r="F27" s="85" t="str">
        <f t="shared" si="2"/>
        <v>8/2026-n3-горизонт-ver_1-set_3.301.2-true</v>
      </c>
      <c r="G27" s="98">
        <f>30/20</f>
        <v>1.5</v>
      </c>
      <c r="H27" s="87">
        <f>TabSpecificationWork_2[[#This Row],[COEFFICIENT MARKUP]]*TabSpecificationWork_1[[#This Row],[PRICE UNIT $PURCHASE]]</f>
        <v>30000</v>
      </c>
      <c r="I27" s="99">
        <f>TabSpecificationWork_1[[#This Row],[QUANTITY TOTAL]]*TabSpecificationWork_2[[#This Row],[PRICE UNIT $SALE]]</f>
        <v>30000</v>
      </c>
      <c r="J27" s="88">
        <v>0</v>
      </c>
      <c r="K27" s="88">
        <f>(TabSpecificationWork_2[[#This Row],[COST DEAL $SALE]]/100)*TabSpecificationWork_2[[#This Row],[DISCOUNT PERCENT]]</f>
        <v>0</v>
      </c>
      <c r="L27" s="89"/>
      <c r="M27" s="90">
        <f>_xlfn.LET(
    _xlpm.projNum, _xlfn.XLOOKUP(TabSpecificationWork_2[[#This Row],[HASH COLLECTION]], TabSpecificationWork_1[HASH COLLECTION], TabSpecificationWork_1[NUM PROJECT], ""),
    _xlpm.company, UPPER(TRIM(_xlfn.TEXTAFTER(_xlpm.projNum, "-", 2))),
    IF(_xlpm.company="ГОРИЗОНТ", 0.22, 0)
)</f>
        <v>0.22</v>
      </c>
      <c r="N27" s="98">
        <f>TabSpecificationWork_2[[#This Row],[PRICE UNIT $SALE]]</f>
        <v>30000</v>
      </c>
      <c r="O27" s="98">
        <f>TabSpecificationWork_2[[#This Row],[PRICE UNIT $TOTAL]] * TabSpecificationWork_2[[#This Row],[VAT RATE CONTRACTOR $TOTAL]]</f>
        <v>6600</v>
      </c>
      <c r="P27" s="98">
        <f>TabSpecificationWork_2[[#This Row],[PRICE UNIT $TOTAL]] + TabSpecificationWork_2[[#This Row],[VAT ADD PRICE UNIT $TOTAL]]</f>
        <v>36600</v>
      </c>
      <c r="Q27" s="92">
        <f>TabSpecificationWork_2[[#This Row],[COST DEAL $SALE]]-TabSpecificationWork_2[[#This Row],[DISCOUNT MONEY]]</f>
        <v>30000</v>
      </c>
      <c r="R27" s="98">
        <f>TabSpecificationWork_2[[#This Row],[COST $TOTAL]] * TabSpecificationWork_2[[#This Row],[VAT RATE CONTRACTOR $TOTAL]]</f>
        <v>6600</v>
      </c>
      <c r="S27" s="92">
        <f>TabSpecificationWork_2[[#This Row],[COST $TOTAL]] + TabSpecificationWork_2[[#This Row],[COST ADD VAT $TOTAL]]</f>
        <v>36600</v>
      </c>
      <c r="T27" s="94">
        <v>7</v>
      </c>
      <c r="U27" s="95" t="s">
        <v>29</v>
      </c>
      <c r="V27" s="95" t="s">
        <v>35</v>
      </c>
      <c r="W27" s="96"/>
    </row>
    <row r="28" spans="1:23" ht="72" x14ac:dyDescent="0.3">
      <c r="A28" s="31" t="str">
        <v>Инжиниринг проектный - КД</v>
      </c>
      <c r="B28" s="6" t="str">
        <v>3.301.3</v>
      </c>
      <c r="C28" s="6">
        <v>1</v>
      </c>
      <c r="D28" s="31" t="str">
        <v>Разработка ТЗ №2 на адаптацию ПТК.
Спиральный вендинговый аппарат, модель Wate Tecnology  L80/master</v>
      </c>
      <c r="E28" s="15" t="str">
        <v>8/2026-n3-горизонт-ver_1-set_3.301.3-true</v>
      </c>
      <c r="F28" s="85" t="str">
        <f t="shared" si="2"/>
        <v>8/2026-n3-горизонт-ver_1-set_3.301.3-true</v>
      </c>
      <c r="G28" s="98">
        <f>30/20</f>
        <v>1.5</v>
      </c>
      <c r="H28" s="87">
        <f>TabSpecificationWork_2[[#This Row],[COEFFICIENT MARKUP]]*TabSpecificationWork_1[[#This Row],[PRICE UNIT $PURCHASE]]</f>
        <v>30000</v>
      </c>
      <c r="I28" s="99">
        <f>TabSpecificationWork_1[[#This Row],[QUANTITY TOTAL]]*TabSpecificationWork_2[[#This Row],[PRICE UNIT $SALE]]</f>
        <v>30000</v>
      </c>
      <c r="J28" s="88">
        <v>0</v>
      </c>
      <c r="K28" s="88">
        <f>(TabSpecificationWork_2[[#This Row],[COST DEAL $SALE]]/100)*TabSpecificationWork_2[[#This Row],[DISCOUNT PERCENT]]</f>
        <v>0</v>
      </c>
      <c r="L28" s="89"/>
      <c r="M28" s="90">
        <f>_xlfn.LET(
    _xlpm.projNum, _xlfn.XLOOKUP(TabSpecificationWork_2[[#This Row],[HASH COLLECTION]], TabSpecificationWork_1[HASH COLLECTION], TabSpecificationWork_1[NUM PROJECT], ""),
    _xlpm.company, UPPER(TRIM(_xlfn.TEXTAFTER(_xlpm.projNum, "-", 2))),
    IF(_xlpm.company="ГОРИЗОНТ", 0.22, 0)
)</f>
        <v>0.22</v>
      </c>
      <c r="N28" s="98">
        <f>TabSpecificationWork_2[[#This Row],[PRICE UNIT $SALE]]</f>
        <v>30000</v>
      </c>
      <c r="O28" s="98">
        <f>TabSpecificationWork_2[[#This Row],[PRICE UNIT $TOTAL]] * TabSpecificationWork_2[[#This Row],[VAT RATE CONTRACTOR $TOTAL]]</f>
        <v>6600</v>
      </c>
      <c r="P28" s="98">
        <f>TabSpecificationWork_2[[#This Row],[PRICE UNIT $TOTAL]] + TabSpecificationWork_2[[#This Row],[VAT ADD PRICE UNIT $TOTAL]]</f>
        <v>36600</v>
      </c>
      <c r="Q28" s="92">
        <f>TabSpecificationWork_2[[#This Row],[COST DEAL $SALE]]-TabSpecificationWork_2[[#This Row],[DISCOUNT MONEY]]</f>
        <v>30000</v>
      </c>
      <c r="R28" s="98">
        <f>TabSpecificationWork_2[[#This Row],[COST $TOTAL]] * TabSpecificationWork_2[[#This Row],[VAT RATE CONTRACTOR $TOTAL]]</f>
        <v>6600</v>
      </c>
      <c r="S28" s="92">
        <f>TabSpecificationWork_2[[#This Row],[COST $TOTAL]] + TabSpecificationWork_2[[#This Row],[COST ADD VAT $TOTAL]]</f>
        <v>36600</v>
      </c>
      <c r="T28" s="94">
        <v>7</v>
      </c>
      <c r="U28" s="95" t="s">
        <v>29</v>
      </c>
      <c r="V28" s="95" t="s">
        <v>35</v>
      </c>
      <c r="W28" s="96"/>
    </row>
    <row r="29" spans="1:23" ht="100.8" x14ac:dyDescent="0.3">
      <c r="A29" s="31" t="str">
        <v>Инжиниринг проектный - АСУ</v>
      </c>
      <c r="B29" s="6" t="str">
        <v>3.302.1</v>
      </c>
      <c r="C29" s="6">
        <v>1</v>
      </c>
      <c r="D29" s="31" t="str">
        <v>Адаптация, комплектование и сборка ПТК в соответствии с ТЗ №2.
Спиральный вендинговый аппарат, модель Wate Tecnology  L80/master</v>
      </c>
      <c r="E29" s="15" t="str">
        <v>8/2026-n3-горизонт-ver_1-set_3.302.1-true</v>
      </c>
      <c r="F29" s="85" t="str">
        <f t="shared" si="2"/>
        <v>8/2026-n3-горизонт-ver_1-set_3.302.1-true</v>
      </c>
      <c r="G29" s="98">
        <v>3.2</v>
      </c>
      <c r="H29" s="87">
        <f>TabSpecificationWork_2[[#This Row],[COEFFICIENT MARKUP]]*TabSpecificationWork_1[[#This Row],[PRICE UNIT $PURCHASE]]</f>
        <v>2560000</v>
      </c>
      <c r="I29" s="99">
        <f>TabSpecificationWork_1[[#This Row],[QUANTITY TOTAL]]*TabSpecificationWork_2[[#This Row],[PRICE UNIT $SALE]]</f>
        <v>2560000</v>
      </c>
      <c r="J29" s="88">
        <v>0</v>
      </c>
      <c r="K29" s="88">
        <f>(TabSpecificationWork_2[[#This Row],[COST DEAL $SALE]]/100)*TabSpecificationWork_2[[#This Row],[DISCOUNT PERCENT]]</f>
        <v>0</v>
      </c>
      <c r="L29" s="89"/>
      <c r="M29" s="90">
        <f>_xlfn.LET(
    _xlpm.projNum, _xlfn.XLOOKUP(TabSpecificationWork_2[[#This Row],[HASH COLLECTION]], TabSpecificationWork_1[HASH COLLECTION], TabSpecificationWork_1[NUM PROJECT], ""),
    _xlpm.company, UPPER(TRIM(_xlfn.TEXTAFTER(_xlpm.projNum, "-", 2))),
    IF(_xlpm.company="ГОРИЗОНТ", 0.22, 0)
)</f>
        <v>0.22</v>
      </c>
      <c r="N29" s="98">
        <f>TabSpecificationWork_2[[#This Row],[PRICE UNIT $SALE]]</f>
        <v>2560000</v>
      </c>
      <c r="O29" s="98">
        <f>TabSpecificationWork_2[[#This Row],[PRICE UNIT $TOTAL]] * TabSpecificationWork_2[[#This Row],[VAT RATE CONTRACTOR $TOTAL]]</f>
        <v>563200</v>
      </c>
      <c r="P29" s="98">
        <f>TabSpecificationWork_2[[#This Row],[PRICE UNIT $TOTAL]] + TabSpecificationWork_2[[#This Row],[VAT ADD PRICE UNIT $TOTAL]]</f>
        <v>3123200</v>
      </c>
      <c r="Q29" s="92">
        <f>TabSpecificationWork_2[[#This Row],[COST DEAL $SALE]]-TabSpecificationWork_2[[#This Row],[DISCOUNT MONEY]]</f>
        <v>2560000</v>
      </c>
      <c r="R29" s="98">
        <f>TabSpecificationWork_2[[#This Row],[COST $TOTAL]] * TabSpecificationWork_2[[#This Row],[VAT RATE CONTRACTOR $TOTAL]]</f>
        <v>563200</v>
      </c>
      <c r="S29" s="92">
        <f>TabSpecificationWork_2[[#This Row],[COST $TOTAL]] + TabSpecificationWork_2[[#This Row],[COST ADD VAT $TOTAL]]</f>
        <v>3123200</v>
      </c>
      <c r="T29" s="94">
        <v>108</v>
      </c>
      <c r="U29" s="95" t="s">
        <v>29</v>
      </c>
      <c r="V29" s="95" t="s">
        <v>35</v>
      </c>
      <c r="W29" s="96"/>
    </row>
    <row r="30" spans="1:23" ht="100.8" x14ac:dyDescent="0.3">
      <c r="A30" s="31" t="str">
        <v>Инжиниринг постпроектный - КД</v>
      </c>
      <c r="B30" s="6" t="str">
        <v>3.303.1</v>
      </c>
      <c r="C30" s="6">
        <v>1</v>
      </c>
      <c r="D30" s="31" t="str">
        <v>Комплексное тестирование аппарата на базе новой системы управления.
Спиральный вендинговый аппарат, модель Wate Tecnology  L80/master</v>
      </c>
      <c r="E30" s="15" t="str">
        <v>8/2026-n3-горизонт-ver_1-set_3.303.1-true</v>
      </c>
      <c r="F30" s="85" t="str">
        <f t="shared" si="2"/>
        <v>8/2026-n3-горизонт-ver_1-set_3.303.1-true</v>
      </c>
      <c r="G30" s="98">
        <v>1.17</v>
      </c>
      <c r="H30" s="87">
        <f>TabSpecificationWork_2[[#This Row],[COEFFICIENT MARKUP]]*TabSpecificationWork_1[[#This Row],[PRICE UNIT $PURCHASE]]</f>
        <v>351000</v>
      </c>
      <c r="I30" s="99">
        <f>TabSpecificationWork_1[[#This Row],[QUANTITY TOTAL]]*TabSpecificationWork_2[[#This Row],[PRICE UNIT $SALE]]</f>
        <v>351000</v>
      </c>
      <c r="J30" s="88">
        <v>0</v>
      </c>
      <c r="K30" s="88">
        <f>(TabSpecificationWork_2[[#This Row],[COST DEAL $SALE]]/100)*TabSpecificationWork_2[[#This Row],[DISCOUNT PERCENT]]</f>
        <v>0</v>
      </c>
      <c r="L30" s="89"/>
      <c r="M30" s="90">
        <f>_xlfn.LET(
    _xlpm.projNum, _xlfn.XLOOKUP(TabSpecificationWork_2[[#This Row],[HASH COLLECTION]], TabSpecificationWork_1[HASH COLLECTION], TabSpecificationWork_1[NUM PROJECT], ""),
    _xlpm.company, UPPER(TRIM(_xlfn.TEXTAFTER(_xlpm.projNum, "-", 2))),
    IF(_xlpm.company="ГОРИЗОНТ", 0.22, 0)
)</f>
        <v>0.22</v>
      </c>
      <c r="N30" s="98">
        <f>TabSpecificationWork_2[[#This Row],[PRICE UNIT $SALE]]</f>
        <v>351000</v>
      </c>
      <c r="O30" s="98">
        <f>TabSpecificationWork_2[[#This Row],[PRICE UNIT $TOTAL]] * TabSpecificationWork_2[[#This Row],[VAT RATE CONTRACTOR $TOTAL]]</f>
        <v>77220</v>
      </c>
      <c r="P30" s="98">
        <f>TabSpecificationWork_2[[#This Row],[PRICE UNIT $TOTAL]] + TabSpecificationWork_2[[#This Row],[VAT ADD PRICE UNIT $TOTAL]]</f>
        <v>428220</v>
      </c>
      <c r="Q30" s="92">
        <f>TabSpecificationWork_2[[#This Row],[COST DEAL $SALE]]-TabSpecificationWork_2[[#This Row],[DISCOUNT MONEY]]</f>
        <v>351000</v>
      </c>
      <c r="R30" s="98">
        <f>TabSpecificationWork_2[[#This Row],[COST $TOTAL]] * TabSpecificationWork_2[[#This Row],[VAT RATE CONTRACTOR $TOTAL]]</f>
        <v>77220</v>
      </c>
      <c r="S30" s="92">
        <f>TabSpecificationWork_2[[#This Row],[COST $TOTAL]] + TabSpecificationWork_2[[#This Row],[COST ADD VAT $TOTAL]]</f>
        <v>428220</v>
      </c>
      <c r="T30" s="94">
        <v>14</v>
      </c>
      <c r="U30" s="95" t="s">
        <v>29</v>
      </c>
      <c r="V30" s="95" t="s">
        <v>35</v>
      </c>
      <c r="W30" s="96" t="s">
        <v>660</v>
      </c>
    </row>
    <row r="31" spans="1:23" ht="86.4" x14ac:dyDescent="0.3">
      <c r="A31" s="31" t="str">
        <v>Инжиниринг проектный - КД</v>
      </c>
      <c r="B31" s="6" t="str">
        <v>3.401.1</v>
      </c>
      <c r="C31" s="6">
        <v>1</v>
      </c>
      <c r="D31" s="31" t="str">
        <v>Инженерный анализ существующей конструкции изделия.
Спиральный вендинговый аппарат, модель Wate Tecnology L50/master</v>
      </c>
      <c r="E31" s="15" t="str">
        <v>8/2026-n3-горизонт-ver_1-set_3.401.1-true</v>
      </c>
      <c r="F31" s="85" t="str">
        <f t="shared" si="2"/>
        <v>8/2026-n3-горизонт-ver_1-set_3.401.1-true</v>
      </c>
      <c r="G31" s="98">
        <f>150/100</f>
        <v>1.5</v>
      </c>
      <c r="H31" s="87">
        <f>TabSpecificationWork_2[[#This Row],[COEFFICIENT MARKUP]]*TabSpecificationWork_1[[#This Row],[PRICE UNIT $PURCHASE]]</f>
        <v>150000</v>
      </c>
      <c r="I31" s="99">
        <f>TabSpecificationWork_1[[#This Row],[QUANTITY TOTAL]]*TabSpecificationWork_2[[#This Row],[PRICE UNIT $SALE]]</f>
        <v>150000</v>
      </c>
      <c r="J31" s="88">
        <v>0</v>
      </c>
      <c r="K31" s="88">
        <f>(TabSpecificationWork_2[[#This Row],[COST DEAL $SALE]]/100)*TabSpecificationWork_2[[#This Row],[DISCOUNT PERCENT]]</f>
        <v>0</v>
      </c>
      <c r="L31" s="89"/>
      <c r="M31" s="90">
        <f>_xlfn.LET(
    _xlpm.projNum, _xlfn.XLOOKUP(TabSpecificationWork_2[[#This Row],[HASH COLLECTION]], TabSpecificationWork_1[HASH COLLECTION], TabSpecificationWork_1[NUM PROJECT], ""),
    _xlpm.company, UPPER(TRIM(_xlfn.TEXTAFTER(_xlpm.projNum, "-", 2))),
    IF(_xlpm.company="ГОРИЗОНТ", 0.22, 0)
)</f>
        <v>0.22</v>
      </c>
      <c r="N31" s="98">
        <f>TabSpecificationWork_2[[#This Row],[PRICE UNIT $SALE]]</f>
        <v>150000</v>
      </c>
      <c r="O31" s="98">
        <f>TabSpecificationWork_2[[#This Row],[PRICE UNIT $TOTAL]] * TabSpecificationWork_2[[#This Row],[VAT RATE CONTRACTOR $TOTAL]]</f>
        <v>33000</v>
      </c>
      <c r="P31" s="98">
        <f>TabSpecificationWork_2[[#This Row],[PRICE UNIT $TOTAL]] + TabSpecificationWork_2[[#This Row],[VAT ADD PRICE UNIT $TOTAL]]</f>
        <v>183000</v>
      </c>
      <c r="Q31" s="92">
        <f>TabSpecificationWork_2[[#This Row],[COST DEAL $SALE]]-TabSpecificationWork_2[[#This Row],[DISCOUNT MONEY]]</f>
        <v>150000</v>
      </c>
      <c r="R31" s="98">
        <f>TabSpecificationWork_2[[#This Row],[COST $TOTAL]] * TabSpecificationWork_2[[#This Row],[VAT RATE CONTRACTOR $TOTAL]]</f>
        <v>33000</v>
      </c>
      <c r="S31" s="92">
        <f>TabSpecificationWork_2[[#This Row],[COST $TOTAL]] + TabSpecificationWork_2[[#This Row],[COST ADD VAT $TOTAL]]</f>
        <v>183000</v>
      </c>
      <c r="T31" s="94">
        <v>14</v>
      </c>
      <c r="U31" s="95" t="s">
        <v>29</v>
      </c>
      <c r="V31" s="95" t="s">
        <v>35</v>
      </c>
      <c r="W31" s="96"/>
    </row>
    <row r="32" spans="1:23" ht="72" x14ac:dyDescent="0.3">
      <c r="A32" s="31" t="str">
        <v>Инжиниринг предпроектный - КД</v>
      </c>
      <c r="B32" s="6" t="str">
        <v>3.401.2</v>
      </c>
      <c r="C32" s="6">
        <v>1</v>
      </c>
      <c r="D32" s="31" t="str">
        <v>Разработка ТЗ №1 на изделие в целом.
Спиральный вендинговый аппарат, модель Wate Tecnology L50/master</v>
      </c>
      <c r="E32" s="15" t="str">
        <v>8/2026-n3-горизонт-ver_1-set_3.401.2-true</v>
      </c>
      <c r="F32" s="85" t="str">
        <f t="shared" si="2"/>
        <v>8/2026-n3-горизонт-ver_1-set_3.401.2-true</v>
      </c>
      <c r="G32" s="98">
        <f>30/20</f>
        <v>1.5</v>
      </c>
      <c r="H32" s="87">
        <f>TabSpecificationWork_2[[#This Row],[COEFFICIENT MARKUP]]*TabSpecificationWork_1[[#This Row],[PRICE UNIT $PURCHASE]]</f>
        <v>30000</v>
      </c>
      <c r="I32" s="99">
        <f>TabSpecificationWork_1[[#This Row],[QUANTITY TOTAL]]*TabSpecificationWork_2[[#This Row],[PRICE UNIT $SALE]]</f>
        <v>30000</v>
      </c>
      <c r="J32" s="88">
        <v>0</v>
      </c>
      <c r="K32" s="88">
        <f>(TabSpecificationWork_2[[#This Row],[COST DEAL $SALE]]/100)*TabSpecificationWork_2[[#This Row],[DISCOUNT PERCENT]]</f>
        <v>0</v>
      </c>
      <c r="L32" s="89"/>
      <c r="M32" s="90">
        <f>_xlfn.LET(
    _xlpm.projNum, _xlfn.XLOOKUP(TabSpecificationWork_2[[#This Row],[HASH COLLECTION]], TabSpecificationWork_1[HASH COLLECTION], TabSpecificationWork_1[NUM PROJECT], ""),
    _xlpm.company, UPPER(TRIM(_xlfn.TEXTAFTER(_xlpm.projNum, "-", 2))),
    IF(_xlpm.company="ГОРИЗОНТ", 0.22, 0)
)</f>
        <v>0.22</v>
      </c>
      <c r="N32" s="98">
        <f>TabSpecificationWork_2[[#This Row],[PRICE UNIT $SALE]]</f>
        <v>30000</v>
      </c>
      <c r="O32" s="98">
        <f>TabSpecificationWork_2[[#This Row],[PRICE UNIT $TOTAL]] * TabSpecificationWork_2[[#This Row],[VAT RATE CONTRACTOR $TOTAL]]</f>
        <v>6600</v>
      </c>
      <c r="P32" s="98">
        <f>TabSpecificationWork_2[[#This Row],[PRICE UNIT $TOTAL]] + TabSpecificationWork_2[[#This Row],[VAT ADD PRICE UNIT $TOTAL]]</f>
        <v>36600</v>
      </c>
      <c r="Q32" s="92">
        <f>TabSpecificationWork_2[[#This Row],[COST DEAL $SALE]]-TabSpecificationWork_2[[#This Row],[DISCOUNT MONEY]]</f>
        <v>30000</v>
      </c>
      <c r="R32" s="98">
        <f>TabSpecificationWork_2[[#This Row],[COST $TOTAL]] * TabSpecificationWork_2[[#This Row],[VAT RATE CONTRACTOR $TOTAL]]</f>
        <v>6600</v>
      </c>
      <c r="S32" s="92">
        <f>TabSpecificationWork_2[[#This Row],[COST $TOTAL]] + TabSpecificationWork_2[[#This Row],[COST ADD VAT $TOTAL]]</f>
        <v>36600</v>
      </c>
      <c r="T32" s="94">
        <v>7</v>
      </c>
      <c r="U32" s="95" t="s">
        <v>29</v>
      </c>
      <c r="V32" s="95" t="s">
        <v>35</v>
      </c>
      <c r="W32" s="96"/>
    </row>
    <row r="33" spans="1:23" ht="72" x14ac:dyDescent="0.3">
      <c r="A33" s="31" t="str">
        <v>Инжиниринг проектный - КД</v>
      </c>
      <c r="B33" s="6" t="str">
        <v>3.401.3</v>
      </c>
      <c r="C33" s="6">
        <v>1</v>
      </c>
      <c r="D33" s="31" t="str">
        <v>Разработка ТЗ №2 на адаптацию ПТК.
Спиральный вендинговый аппарат, модель Wate Tecnology L50/master</v>
      </c>
      <c r="E33" s="15" t="str">
        <v>8/2026-n3-горизонт-ver_1-set_3.401.3-true</v>
      </c>
      <c r="F33" s="85" t="str">
        <f t="shared" si="2"/>
        <v>8/2026-n3-горизонт-ver_1-set_3.401.3-true</v>
      </c>
      <c r="G33" s="98">
        <f>30/20</f>
        <v>1.5</v>
      </c>
      <c r="H33" s="87">
        <f>TabSpecificationWork_2[[#This Row],[COEFFICIENT MARKUP]]*TabSpecificationWork_1[[#This Row],[PRICE UNIT $PURCHASE]]</f>
        <v>30000</v>
      </c>
      <c r="I33" s="99">
        <f>TabSpecificationWork_1[[#This Row],[QUANTITY TOTAL]]*TabSpecificationWork_2[[#This Row],[PRICE UNIT $SALE]]</f>
        <v>30000</v>
      </c>
      <c r="J33" s="88">
        <v>0</v>
      </c>
      <c r="K33" s="88">
        <f>(TabSpecificationWork_2[[#This Row],[COST DEAL $SALE]]/100)*TabSpecificationWork_2[[#This Row],[DISCOUNT PERCENT]]</f>
        <v>0</v>
      </c>
      <c r="L33" s="89"/>
      <c r="M33" s="90">
        <f>_xlfn.LET(
    _xlpm.projNum, _xlfn.XLOOKUP(TabSpecificationWork_2[[#This Row],[HASH COLLECTION]], TabSpecificationWork_1[HASH COLLECTION], TabSpecificationWork_1[NUM PROJECT], ""),
    _xlpm.company, UPPER(TRIM(_xlfn.TEXTAFTER(_xlpm.projNum, "-", 2))),
    IF(_xlpm.company="ГОРИЗОНТ", 0.22, 0)
)</f>
        <v>0.22</v>
      </c>
      <c r="N33" s="98">
        <f>TabSpecificationWork_2[[#This Row],[PRICE UNIT $SALE]]</f>
        <v>30000</v>
      </c>
      <c r="O33" s="98">
        <f>TabSpecificationWork_2[[#This Row],[PRICE UNIT $TOTAL]] * TabSpecificationWork_2[[#This Row],[VAT RATE CONTRACTOR $TOTAL]]</f>
        <v>6600</v>
      </c>
      <c r="P33" s="98">
        <f>TabSpecificationWork_2[[#This Row],[PRICE UNIT $TOTAL]] + TabSpecificationWork_2[[#This Row],[VAT ADD PRICE UNIT $TOTAL]]</f>
        <v>36600</v>
      </c>
      <c r="Q33" s="92">
        <f>TabSpecificationWork_2[[#This Row],[COST DEAL $SALE]]-TabSpecificationWork_2[[#This Row],[DISCOUNT MONEY]]</f>
        <v>30000</v>
      </c>
      <c r="R33" s="98">
        <f>TabSpecificationWork_2[[#This Row],[COST $TOTAL]] * TabSpecificationWork_2[[#This Row],[VAT RATE CONTRACTOR $TOTAL]]</f>
        <v>6600</v>
      </c>
      <c r="S33" s="92">
        <f>TabSpecificationWork_2[[#This Row],[COST $TOTAL]] + TabSpecificationWork_2[[#This Row],[COST ADD VAT $TOTAL]]</f>
        <v>36600</v>
      </c>
      <c r="T33" s="94">
        <v>7</v>
      </c>
      <c r="U33" s="95" t="s">
        <v>29</v>
      </c>
      <c r="V33" s="95" t="s">
        <v>35</v>
      </c>
      <c r="W33" s="96"/>
    </row>
    <row r="34" spans="1:23" ht="72" x14ac:dyDescent="0.3">
      <c r="A34" s="31" t="str">
        <v>Инжиниринг проектный - АСУ</v>
      </c>
      <c r="B34" s="6" t="str">
        <v>3.402.1</v>
      </c>
      <c r="C34" s="6">
        <v>1</v>
      </c>
      <c r="D34" s="31" t="str">
        <v>Адаптация, комплектование и сборка ПТК в соответствии с ТЗ №2. Модель Wate Tecnology L50/master</v>
      </c>
      <c r="E34" s="15" t="str">
        <v>8/2026-n3-горизонт-ver_1-set_3.402.1-true</v>
      </c>
      <c r="F34" s="85" t="str">
        <f t="shared" si="2"/>
        <v>8/2026-n3-горизонт-ver_1-set_3.402.1-true</v>
      </c>
      <c r="G34" s="98">
        <v>3.2</v>
      </c>
      <c r="H34" s="87">
        <f>TabSpecificationWork_2[[#This Row],[COEFFICIENT MARKUP]]*TabSpecificationWork_1[[#This Row],[PRICE UNIT $PURCHASE]]</f>
        <v>2560000</v>
      </c>
      <c r="I34" s="99">
        <f>TabSpecificationWork_1[[#This Row],[QUANTITY TOTAL]]*TabSpecificationWork_2[[#This Row],[PRICE UNIT $SALE]]</f>
        <v>2560000</v>
      </c>
      <c r="J34" s="88">
        <v>0</v>
      </c>
      <c r="K34" s="88">
        <f>(TabSpecificationWork_2[[#This Row],[COST DEAL $SALE]]/100)*TabSpecificationWork_2[[#This Row],[DISCOUNT PERCENT]]</f>
        <v>0</v>
      </c>
      <c r="L34" s="89"/>
      <c r="M34" s="90">
        <f>_xlfn.LET(
    _xlpm.projNum, _xlfn.XLOOKUP(TabSpecificationWork_2[[#This Row],[HASH COLLECTION]], TabSpecificationWork_1[HASH COLLECTION], TabSpecificationWork_1[NUM PROJECT], ""),
    _xlpm.company, UPPER(TRIM(_xlfn.TEXTAFTER(_xlpm.projNum, "-", 2))),
    IF(_xlpm.company="ГОРИЗОНТ", 0.22, 0)
)</f>
        <v>0.22</v>
      </c>
      <c r="N34" s="98">
        <f>TabSpecificationWork_2[[#This Row],[PRICE UNIT $SALE]]</f>
        <v>2560000</v>
      </c>
      <c r="O34" s="98">
        <f>TabSpecificationWork_2[[#This Row],[PRICE UNIT $TOTAL]] * TabSpecificationWork_2[[#This Row],[VAT RATE CONTRACTOR $TOTAL]]</f>
        <v>563200</v>
      </c>
      <c r="P34" s="98">
        <f>TabSpecificationWork_2[[#This Row],[PRICE UNIT $TOTAL]] + TabSpecificationWork_2[[#This Row],[VAT ADD PRICE UNIT $TOTAL]]</f>
        <v>3123200</v>
      </c>
      <c r="Q34" s="92">
        <f>TabSpecificationWork_2[[#This Row],[COST DEAL $SALE]]-TabSpecificationWork_2[[#This Row],[DISCOUNT MONEY]]</f>
        <v>2560000</v>
      </c>
      <c r="R34" s="98">
        <f>TabSpecificationWork_2[[#This Row],[COST $TOTAL]] * TabSpecificationWork_2[[#This Row],[VAT RATE CONTRACTOR $TOTAL]]</f>
        <v>563200</v>
      </c>
      <c r="S34" s="92">
        <f>TabSpecificationWork_2[[#This Row],[COST $TOTAL]] + TabSpecificationWork_2[[#This Row],[COST ADD VAT $TOTAL]]</f>
        <v>3123200</v>
      </c>
      <c r="T34" s="94">
        <v>108</v>
      </c>
      <c r="U34" s="95" t="s">
        <v>29</v>
      </c>
      <c r="V34" s="95" t="s">
        <v>35</v>
      </c>
      <c r="W34" s="96"/>
    </row>
    <row r="35" spans="1:23" ht="100.8" x14ac:dyDescent="0.3">
      <c r="A35" s="31" t="str">
        <v>Инжиниринг постпроектный - КД</v>
      </c>
      <c r="B35" s="6" t="str">
        <v>3.403.1</v>
      </c>
      <c r="C35" s="6">
        <v>1</v>
      </c>
      <c r="D35" s="31" t="str">
        <v>Комплексное тестирование аппарата на базе новой системы управления.
Спиральный вендинговый аппарат, модель Wate Tecnology L50/master</v>
      </c>
      <c r="E35" s="15" t="str">
        <v>8/2026-n3-горизонт-ver_1-set_3.403.1-true</v>
      </c>
      <c r="F35" s="85" t="str">
        <f t="shared" si="2"/>
        <v>8/2026-n3-горизонт-ver_1-set_3.403.1-true</v>
      </c>
      <c r="G35" s="98">
        <v>1.17</v>
      </c>
      <c r="H35" s="87">
        <f>TabSpecificationWork_2[[#This Row],[COEFFICIENT MARKUP]]*TabSpecificationWork_1[[#This Row],[PRICE UNIT $PURCHASE]]</f>
        <v>351000</v>
      </c>
      <c r="I35" s="99">
        <f>TabSpecificationWork_1[[#This Row],[QUANTITY TOTAL]]*TabSpecificationWork_2[[#This Row],[PRICE UNIT $SALE]]</f>
        <v>351000</v>
      </c>
      <c r="J35" s="88">
        <v>0</v>
      </c>
      <c r="K35" s="88">
        <f>(TabSpecificationWork_2[[#This Row],[COST DEAL $SALE]]/100)*TabSpecificationWork_2[[#This Row],[DISCOUNT PERCENT]]</f>
        <v>0</v>
      </c>
      <c r="L35" s="89"/>
      <c r="M35" s="90">
        <f>_xlfn.LET(
    _xlpm.projNum, _xlfn.XLOOKUP(TabSpecificationWork_2[[#This Row],[HASH COLLECTION]], TabSpecificationWork_1[HASH COLLECTION], TabSpecificationWork_1[NUM PROJECT], ""),
    _xlpm.company, UPPER(TRIM(_xlfn.TEXTAFTER(_xlpm.projNum, "-", 2))),
    IF(_xlpm.company="ГОРИЗОНТ", 0.22, 0)
)</f>
        <v>0.22</v>
      </c>
      <c r="N35" s="98">
        <f>TabSpecificationWork_2[[#This Row],[PRICE UNIT $SALE]]</f>
        <v>351000</v>
      </c>
      <c r="O35" s="98">
        <f>TabSpecificationWork_2[[#This Row],[PRICE UNIT $TOTAL]] * TabSpecificationWork_2[[#This Row],[VAT RATE CONTRACTOR $TOTAL]]</f>
        <v>77220</v>
      </c>
      <c r="P35" s="98">
        <f>TabSpecificationWork_2[[#This Row],[PRICE UNIT $TOTAL]] + TabSpecificationWork_2[[#This Row],[VAT ADD PRICE UNIT $TOTAL]]</f>
        <v>428220</v>
      </c>
      <c r="Q35" s="92">
        <f>TabSpecificationWork_2[[#This Row],[COST DEAL $SALE]]-TabSpecificationWork_2[[#This Row],[DISCOUNT MONEY]]</f>
        <v>351000</v>
      </c>
      <c r="R35" s="98">
        <f>TabSpecificationWork_2[[#This Row],[COST $TOTAL]] * TabSpecificationWork_2[[#This Row],[VAT RATE CONTRACTOR $TOTAL]]</f>
        <v>77220</v>
      </c>
      <c r="S35" s="92">
        <f>TabSpecificationWork_2[[#This Row],[COST $TOTAL]] + TabSpecificationWork_2[[#This Row],[COST ADD VAT $TOTAL]]</f>
        <v>428220</v>
      </c>
      <c r="T35" s="94">
        <v>14</v>
      </c>
      <c r="U35" s="95" t="s">
        <v>29</v>
      </c>
      <c r="V35" s="95" t="s">
        <v>35</v>
      </c>
      <c r="W35" s="96" t="s">
        <v>660</v>
      </c>
    </row>
    <row r="36" spans="1:23" ht="86.4" hidden="1" x14ac:dyDescent="0.3">
      <c r="A36" s="31" t="str">
        <v>Инжиниринг проектный - КД</v>
      </c>
      <c r="B36" s="6" t="str">
        <v>3.501.1</v>
      </c>
      <c r="C36" s="6">
        <v>1</v>
      </c>
      <c r="D36" s="31" t="str">
        <v>Инженерный анализ существующей конструкции изделия.
Постаматный вендинговый аппарат, модель Wate Tecnology С80/master</v>
      </c>
      <c r="E36" s="15" t="str">
        <v>8/2026-n3-горизонт-ver_1-set_3.501.1-false</v>
      </c>
      <c r="F36" s="85" t="str">
        <f t="shared" si="2"/>
        <v>8/2026-n3-горизонт-ver_1-set_3.501.1-false</v>
      </c>
      <c r="G36" s="98">
        <f>150/100</f>
        <v>1.5</v>
      </c>
      <c r="H36" s="87">
        <f>TabSpecificationWork_2[[#This Row],[COEFFICIENT MARKUP]]*TabSpecificationWork_1[[#This Row],[PRICE UNIT $PURCHASE]]</f>
        <v>150000</v>
      </c>
      <c r="I36" s="99">
        <f>TabSpecificationWork_1[[#This Row],[QUANTITY TOTAL]]*TabSpecificationWork_2[[#This Row],[PRICE UNIT $SALE]]</f>
        <v>150000</v>
      </c>
      <c r="J36" s="88">
        <v>0</v>
      </c>
      <c r="K36" s="88">
        <f>(TabSpecificationWork_2[[#This Row],[COST DEAL $SALE]]/100)*TabSpecificationWork_2[[#This Row],[DISCOUNT PERCENT]]</f>
        <v>0</v>
      </c>
      <c r="L36" s="89"/>
      <c r="M36" s="90">
        <f>_xlfn.LET(
    _xlpm.projNum, _xlfn.XLOOKUP(TabSpecificationWork_2[[#This Row],[HASH COLLECTION]], TabSpecificationWork_1[HASH COLLECTION], TabSpecificationWork_1[NUM PROJECT], ""),
    _xlpm.company, UPPER(TRIM(_xlfn.TEXTAFTER(_xlpm.projNum, "-", 2))),
    IF(_xlpm.company="ГОРИЗОНТ", 0.22, 0)
)</f>
        <v>0.22</v>
      </c>
      <c r="N36" s="98">
        <f>TabSpecificationWork_2[[#This Row],[PRICE UNIT $SALE]]</f>
        <v>150000</v>
      </c>
      <c r="O36" s="98">
        <f>TabSpecificationWork_2[[#This Row],[PRICE UNIT $TOTAL]] * TabSpecificationWork_2[[#This Row],[VAT RATE CONTRACTOR $TOTAL]]</f>
        <v>33000</v>
      </c>
      <c r="P36" s="98">
        <f>TabSpecificationWork_2[[#This Row],[PRICE UNIT $TOTAL]] + TabSpecificationWork_2[[#This Row],[VAT ADD PRICE UNIT $TOTAL]]</f>
        <v>183000</v>
      </c>
      <c r="Q36" s="92">
        <f>TabSpecificationWork_2[[#This Row],[COST DEAL $SALE]]-TabSpecificationWork_2[[#This Row],[DISCOUNT MONEY]]</f>
        <v>150000</v>
      </c>
      <c r="R36" s="98">
        <f>TabSpecificationWork_2[[#This Row],[COST $TOTAL]] * TabSpecificationWork_2[[#This Row],[VAT RATE CONTRACTOR $TOTAL]]</f>
        <v>33000</v>
      </c>
      <c r="S36" s="92">
        <f>TabSpecificationWork_2[[#This Row],[COST $TOTAL]] + TabSpecificationWork_2[[#This Row],[COST ADD VAT $TOTAL]]</f>
        <v>183000</v>
      </c>
      <c r="T36" s="94">
        <v>14</v>
      </c>
      <c r="U36" s="95" t="s">
        <v>35</v>
      </c>
      <c r="V36" s="95" t="s">
        <v>35</v>
      </c>
      <c r="W36" s="96"/>
    </row>
    <row r="37" spans="1:23" ht="72" hidden="1" x14ac:dyDescent="0.3">
      <c r="A37" s="31" t="str">
        <v>Инжиниринг предпроектный - КД</v>
      </c>
      <c r="B37" s="6" t="str">
        <v>3.501.2</v>
      </c>
      <c r="C37" s="6">
        <v>1</v>
      </c>
      <c r="D37" s="31" t="str">
        <v>Разработка ТЗ №1 на изделие в целом.
Постаматный вендинговый аппарат, модель Wate Tecnology С80/master</v>
      </c>
      <c r="E37" s="15" t="str">
        <v>8/2026-n3-горизонт-ver_1-set_3.501.2-false</v>
      </c>
      <c r="F37" s="85" t="str">
        <f t="shared" si="2"/>
        <v>8/2026-n3-горизонт-ver_1-set_3.501.2-false</v>
      </c>
      <c r="G37" s="98">
        <f>30/20</f>
        <v>1.5</v>
      </c>
      <c r="H37" s="87">
        <f>TabSpecificationWork_2[[#This Row],[COEFFICIENT MARKUP]]*TabSpecificationWork_1[[#This Row],[PRICE UNIT $PURCHASE]]</f>
        <v>30000</v>
      </c>
      <c r="I37" s="99">
        <f>TabSpecificationWork_1[[#This Row],[QUANTITY TOTAL]]*TabSpecificationWork_2[[#This Row],[PRICE UNIT $SALE]]</f>
        <v>30000</v>
      </c>
      <c r="J37" s="88">
        <v>0</v>
      </c>
      <c r="K37" s="88">
        <f>(TabSpecificationWork_2[[#This Row],[COST DEAL $SALE]]/100)*TabSpecificationWork_2[[#This Row],[DISCOUNT PERCENT]]</f>
        <v>0</v>
      </c>
      <c r="L37" s="89"/>
      <c r="M37" s="90">
        <f>_xlfn.LET(
    _xlpm.projNum, _xlfn.XLOOKUP(TabSpecificationWork_2[[#This Row],[HASH COLLECTION]], TabSpecificationWork_1[HASH COLLECTION], TabSpecificationWork_1[NUM PROJECT], ""),
    _xlpm.company, UPPER(TRIM(_xlfn.TEXTAFTER(_xlpm.projNum, "-", 2))),
    IF(_xlpm.company="ГОРИЗОНТ", 0.22, 0)
)</f>
        <v>0.22</v>
      </c>
      <c r="N37" s="98">
        <f>TabSpecificationWork_2[[#This Row],[PRICE UNIT $SALE]]</f>
        <v>30000</v>
      </c>
      <c r="O37" s="98">
        <f>TabSpecificationWork_2[[#This Row],[PRICE UNIT $TOTAL]] * TabSpecificationWork_2[[#This Row],[VAT RATE CONTRACTOR $TOTAL]]</f>
        <v>6600</v>
      </c>
      <c r="P37" s="98">
        <f>TabSpecificationWork_2[[#This Row],[PRICE UNIT $TOTAL]] + TabSpecificationWork_2[[#This Row],[VAT ADD PRICE UNIT $TOTAL]]</f>
        <v>36600</v>
      </c>
      <c r="Q37" s="92">
        <f>TabSpecificationWork_2[[#This Row],[COST DEAL $SALE]]-TabSpecificationWork_2[[#This Row],[DISCOUNT MONEY]]</f>
        <v>30000</v>
      </c>
      <c r="R37" s="98">
        <f>TabSpecificationWork_2[[#This Row],[COST $TOTAL]] * TabSpecificationWork_2[[#This Row],[VAT RATE CONTRACTOR $TOTAL]]</f>
        <v>6600</v>
      </c>
      <c r="S37" s="92">
        <f>TabSpecificationWork_2[[#This Row],[COST $TOTAL]] + TabSpecificationWork_2[[#This Row],[COST ADD VAT $TOTAL]]</f>
        <v>36600</v>
      </c>
      <c r="T37" s="94">
        <v>7</v>
      </c>
      <c r="U37" s="95" t="s">
        <v>35</v>
      </c>
      <c r="V37" s="95" t="s">
        <v>35</v>
      </c>
      <c r="W37" s="96"/>
    </row>
    <row r="38" spans="1:23" ht="86.4" hidden="1" x14ac:dyDescent="0.3">
      <c r="A38" s="31" t="str">
        <v>Инжиниринг проектный - КД</v>
      </c>
      <c r="B38" s="6" t="str">
        <v>3.501.3</v>
      </c>
      <c r="C38" s="6">
        <v>1</v>
      </c>
      <c r="D38" s="31" t="str">
        <v>Разработка ТЗ №2 на адаптацию ПТК к данной модели.
Постаматный вендинговый аппарат, модель Wate Tecnology С80/master</v>
      </c>
      <c r="E38" s="15" t="str">
        <v>8/2026-n3-горизонт-ver_1-set_3.501.3-false</v>
      </c>
      <c r="F38" s="85" t="str">
        <f t="shared" si="2"/>
        <v>8/2026-n3-горизонт-ver_1-set_3.501.3-false</v>
      </c>
      <c r="G38" s="98">
        <f>30/20</f>
        <v>1.5</v>
      </c>
      <c r="H38" s="87">
        <f>TabSpecificationWork_2[[#This Row],[COEFFICIENT MARKUP]]*TabSpecificationWork_1[[#This Row],[PRICE UNIT $PURCHASE]]</f>
        <v>30000</v>
      </c>
      <c r="I38" s="99">
        <f>TabSpecificationWork_1[[#This Row],[QUANTITY TOTAL]]*TabSpecificationWork_2[[#This Row],[PRICE UNIT $SALE]]</f>
        <v>30000</v>
      </c>
      <c r="J38" s="88">
        <v>0</v>
      </c>
      <c r="K38" s="88">
        <f>(TabSpecificationWork_2[[#This Row],[COST DEAL $SALE]]/100)*TabSpecificationWork_2[[#This Row],[DISCOUNT PERCENT]]</f>
        <v>0</v>
      </c>
      <c r="L38" s="89"/>
      <c r="M38" s="90">
        <f>_xlfn.LET(
    _xlpm.projNum, _xlfn.XLOOKUP(TabSpecificationWork_2[[#This Row],[HASH COLLECTION]], TabSpecificationWork_1[HASH COLLECTION], TabSpecificationWork_1[NUM PROJECT], ""),
    _xlpm.company, UPPER(TRIM(_xlfn.TEXTAFTER(_xlpm.projNum, "-", 2))),
    IF(_xlpm.company="ГОРИЗОНТ", 0.22, 0)
)</f>
        <v>0.22</v>
      </c>
      <c r="N38" s="98">
        <f>TabSpecificationWork_2[[#This Row],[PRICE UNIT $SALE]]</f>
        <v>30000</v>
      </c>
      <c r="O38" s="98">
        <f>TabSpecificationWork_2[[#This Row],[PRICE UNIT $TOTAL]] * TabSpecificationWork_2[[#This Row],[VAT RATE CONTRACTOR $TOTAL]]</f>
        <v>6600</v>
      </c>
      <c r="P38" s="98">
        <f>TabSpecificationWork_2[[#This Row],[PRICE UNIT $TOTAL]] + TabSpecificationWork_2[[#This Row],[VAT ADD PRICE UNIT $TOTAL]]</f>
        <v>36600</v>
      </c>
      <c r="Q38" s="92">
        <f>TabSpecificationWork_2[[#This Row],[COST DEAL $SALE]]-TabSpecificationWork_2[[#This Row],[DISCOUNT MONEY]]</f>
        <v>30000</v>
      </c>
      <c r="R38" s="98">
        <f>TabSpecificationWork_2[[#This Row],[COST $TOTAL]] * TabSpecificationWork_2[[#This Row],[VAT RATE CONTRACTOR $TOTAL]]</f>
        <v>6600</v>
      </c>
      <c r="S38" s="92">
        <f>TabSpecificationWork_2[[#This Row],[COST $TOTAL]] + TabSpecificationWork_2[[#This Row],[COST ADD VAT $TOTAL]]</f>
        <v>36600</v>
      </c>
      <c r="T38" s="94">
        <v>7</v>
      </c>
      <c r="U38" s="95" t="s">
        <v>35</v>
      </c>
      <c r="V38" s="95" t="s">
        <v>35</v>
      </c>
      <c r="W38" s="96"/>
    </row>
    <row r="39" spans="1:23" ht="100.8" hidden="1" x14ac:dyDescent="0.3">
      <c r="A39" s="31" t="str">
        <v>Инжиниринг проектный - АСУ</v>
      </c>
      <c r="B39" s="6" t="str">
        <v>3.502.1</v>
      </c>
      <c r="C39" s="6">
        <v>1</v>
      </c>
      <c r="D39" s="31" t="str">
        <v>Адаптация, комплектование и сборка ПТК в соответствии с ТЗ №2.
Постаматный вендинговый аппарат, модель Wate Tecnology С80/master</v>
      </c>
      <c r="E39" s="15" t="str">
        <v>8/2026-n3-горизонт-ver_1-set_3.502.1-false</v>
      </c>
      <c r="F39" s="85" t="str">
        <f t="shared" si="2"/>
        <v>8/2026-n3-горизонт-ver_1-set_3.502.1-false</v>
      </c>
      <c r="G39" s="98">
        <v>3.2</v>
      </c>
      <c r="H39" s="87">
        <f>TabSpecificationWork_2[[#This Row],[COEFFICIENT MARKUP]]*TabSpecificationWork_1[[#This Row],[PRICE UNIT $PURCHASE]]</f>
        <v>2560000</v>
      </c>
      <c r="I39" s="99">
        <f>TabSpecificationWork_1[[#This Row],[QUANTITY TOTAL]]*TabSpecificationWork_2[[#This Row],[PRICE UNIT $SALE]]</f>
        <v>2560000</v>
      </c>
      <c r="J39" s="88">
        <v>0</v>
      </c>
      <c r="K39" s="88">
        <f>(TabSpecificationWork_2[[#This Row],[COST DEAL $SALE]]/100)*TabSpecificationWork_2[[#This Row],[DISCOUNT PERCENT]]</f>
        <v>0</v>
      </c>
      <c r="L39" s="89"/>
      <c r="M39" s="90">
        <f>_xlfn.LET(
    _xlpm.projNum, _xlfn.XLOOKUP(TabSpecificationWork_2[[#This Row],[HASH COLLECTION]], TabSpecificationWork_1[HASH COLLECTION], TabSpecificationWork_1[NUM PROJECT], ""),
    _xlpm.company, UPPER(TRIM(_xlfn.TEXTAFTER(_xlpm.projNum, "-", 2))),
    IF(_xlpm.company="ГОРИЗОНТ", 0.22, 0)
)</f>
        <v>0.22</v>
      </c>
      <c r="N39" s="98">
        <f>TabSpecificationWork_2[[#This Row],[PRICE UNIT $SALE]]</f>
        <v>2560000</v>
      </c>
      <c r="O39" s="98">
        <f>TabSpecificationWork_2[[#This Row],[PRICE UNIT $TOTAL]] * TabSpecificationWork_2[[#This Row],[VAT RATE CONTRACTOR $TOTAL]]</f>
        <v>563200</v>
      </c>
      <c r="P39" s="98">
        <f>TabSpecificationWork_2[[#This Row],[PRICE UNIT $TOTAL]] + TabSpecificationWork_2[[#This Row],[VAT ADD PRICE UNIT $TOTAL]]</f>
        <v>3123200</v>
      </c>
      <c r="Q39" s="92">
        <f>TabSpecificationWork_2[[#This Row],[COST DEAL $SALE]]-TabSpecificationWork_2[[#This Row],[DISCOUNT MONEY]]</f>
        <v>2560000</v>
      </c>
      <c r="R39" s="98">
        <f>TabSpecificationWork_2[[#This Row],[COST $TOTAL]] * TabSpecificationWork_2[[#This Row],[VAT RATE CONTRACTOR $TOTAL]]</f>
        <v>563200</v>
      </c>
      <c r="S39" s="92">
        <f>TabSpecificationWork_2[[#This Row],[COST $TOTAL]] + TabSpecificationWork_2[[#This Row],[COST ADD VAT $TOTAL]]</f>
        <v>3123200</v>
      </c>
      <c r="T39" s="94">
        <v>108</v>
      </c>
      <c r="U39" s="95" t="s">
        <v>35</v>
      </c>
      <c r="V39" s="95" t="s">
        <v>35</v>
      </c>
      <c r="W39" s="96"/>
    </row>
    <row r="40" spans="1:23" ht="100.8" hidden="1" x14ac:dyDescent="0.3">
      <c r="A40" s="31" t="str">
        <v>Инжиниринг постпроектный - КД</v>
      </c>
      <c r="B40" s="6" t="str">
        <v>3.503.1</v>
      </c>
      <c r="C40" s="6">
        <v>1</v>
      </c>
      <c r="D40" s="31" t="str">
        <v>Комплексное тестирование аппарата на базе новой системы управления.
Постаматный вендинговый аппарат, модель Wate Tecnology С80/master</v>
      </c>
      <c r="E40" s="15" t="str">
        <v>8/2026-n3-горизонт-ver_1-set_3.503.1-false</v>
      </c>
      <c r="F40" s="85" t="str">
        <f t="shared" si="2"/>
        <v>8/2026-n3-горизонт-ver_1-set_3.503.1-false</v>
      </c>
      <c r="G40" s="98">
        <v>1.17</v>
      </c>
      <c r="H40" s="87">
        <f>TabSpecificationWork_2[[#This Row],[COEFFICIENT MARKUP]]*TabSpecificationWork_1[[#This Row],[PRICE UNIT $PURCHASE]]</f>
        <v>351000</v>
      </c>
      <c r="I40" s="99">
        <f>TabSpecificationWork_1[[#This Row],[QUANTITY TOTAL]]*TabSpecificationWork_2[[#This Row],[PRICE UNIT $SALE]]</f>
        <v>351000</v>
      </c>
      <c r="J40" s="88">
        <v>0</v>
      </c>
      <c r="K40" s="88">
        <f>(TabSpecificationWork_2[[#This Row],[COST DEAL $SALE]]/100)*TabSpecificationWork_2[[#This Row],[DISCOUNT PERCENT]]</f>
        <v>0</v>
      </c>
      <c r="L40" s="89"/>
      <c r="M40" s="90">
        <f>_xlfn.LET(
    _xlpm.projNum, _xlfn.XLOOKUP(TabSpecificationWork_2[[#This Row],[HASH COLLECTION]], TabSpecificationWork_1[HASH COLLECTION], TabSpecificationWork_1[NUM PROJECT], ""),
    _xlpm.company, UPPER(TRIM(_xlfn.TEXTAFTER(_xlpm.projNum, "-", 2))),
    IF(_xlpm.company="ГОРИЗОНТ", 0.22, 0)
)</f>
        <v>0.22</v>
      </c>
      <c r="N40" s="98">
        <f>TabSpecificationWork_2[[#This Row],[PRICE UNIT $SALE]]</f>
        <v>351000</v>
      </c>
      <c r="O40" s="98">
        <f>TabSpecificationWork_2[[#This Row],[PRICE UNIT $TOTAL]] * TabSpecificationWork_2[[#This Row],[VAT RATE CONTRACTOR $TOTAL]]</f>
        <v>77220</v>
      </c>
      <c r="P40" s="98">
        <f>TabSpecificationWork_2[[#This Row],[PRICE UNIT $TOTAL]] + TabSpecificationWork_2[[#This Row],[VAT ADD PRICE UNIT $TOTAL]]</f>
        <v>428220</v>
      </c>
      <c r="Q40" s="92">
        <f>TabSpecificationWork_2[[#This Row],[COST DEAL $SALE]]-TabSpecificationWork_2[[#This Row],[DISCOUNT MONEY]]</f>
        <v>351000</v>
      </c>
      <c r="R40" s="98">
        <f>TabSpecificationWork_2[[#This Row],[COST $TOTAL]] * TabSpecificationWork_2[[#This Row],[VAT RATE CONTRACTOR $TOTAL]]</f>
        <v>77220</v>
      </c>
      <c r="S40" s="92">
        <f>TabSpecificationWork_2[[#This Row],[COST $TOTAL]] + TabSpecificationWork_2[[#This Row],[COST ADD VAT $TOTAL]]</f>
        <v>428220</v>
      </c>
      <c r="T40" s="94">
        <v>14</v>
      </c>
      <c r="U40" s="95" t="s">
        <v>35</v>
      </c>
      <c r="V40" s="95" t="s">
        <v>35</v>
      </c>
      <c r="W40" s="96" t="s">
        <v>660</v>
      </c>
    </row>
    <row r="41" spans="1:23" ht="86.4" x14ac:dyDescent="0.3">
      <c r="A41" s="31" t="str">
        <v>Инжиниринг проектный - КД</v>
      </c>
      <c r="B41" s="6" t="str">
        <v>3.601.1</v>
      </c>
      <c r="C41" s="6">
        <v>1</v>
      </c>
      <c r="D41" s="31" t="str">
        <v>Инженерный анализ существующей конструкции изделия.
Постаматный вендинговый аппарат, модель Wate Tecnology С80P/master</v>
      </c>
      <c r="E41" s="15" t="str">
        <v>8/2026-n3-горизонт-ver_1-set_3.601.1-true</v>
      </c>
      <c r="F41" s="85" t="str">
        <f t="shared" si="2"/>
        <v>8/2026-n3-горизонт-ver_1-set_3.601.1-true</v>
      </c>
      <c r="G41" s="98">
        <f>150/100</f>
        <v>1.5</v>
      </c>
      <c r="H41" s="87">
        <f>TabSpecificationWork_2[[#This Row],[COEFFICIENT MARKUP]]*TabSpecificationWork_1[[#This Row],[PRICE UNIT $PURCHASE]]</f>
        <v>150000</v>
      </c>
      <c r="I41" s="99">
        <f>TabSpecificationWork_1[[#This Row],[QUANTITY TOTAL]]*TabSpecificationWork_2[[#This Row],[PRICE UNIT $SALE]]</f>
        <v>150000</v>
      </c>
      <c r="J41" s="88">
        <v>0</v>
      </c>
      <c r="K41" s="88">
        <f>(TabSpecificationWork_2[[#This Row],[COST DEAL $SALE]]/100)*TabSpecificationWork_2[[#This Row],[DISCOUNT PERCENT]]</f>
        <v>0</v>
      </c>
      <c r="L41" s="89"/>
      <c r="M41" s="90">
        <f>_xlfn.LET(
    _xlpm.projNum, _xlfn.XLOOKUP(TabSpecificationWork_2[[#This Row],[HASH COLLECTION]], TabSpecificationWork_1[HASH COLLECTION], TabSpecificationWork_1[NUM PROJECT], ""),
    _xlpm.company, UPPER(TRIM(_xlfn.TEXTAFTER(_xlpm.projNum, "-", 2))),
    IF(_xlpm.company="ГОРИЗОНТ", 0.22, 0)
)</f>
        <v>0.22</v>
      </c>
      <c r="N41" s="98">
        <f>TabSpecificationWork_2[[#This Row],[PRICE UNIT $SALE]]</f>
        <v>150000</v>
      </c>
      <c r="O41" s="98">
        <f>TabSpecificationWork_2[[#This Row],[PRICE UNIT $TOTAL]] * TabSpecificationWork_2[[#This Row],[VAT RATE CONTRACTOR $TOTAL]]</f>
        <v>33000</v>
      </c>
      <c r="P41" s="98">
        <f>TabSpecificationWork_2[[#This Row],[PRICE UNIT $TOTAL]] + TabSpecificationWork_2[[#This Row],[VAT ADD PRICE UNIT $TOTAL]]</f>
        <v>183000</v>
      </c>
      <c r="Q41" s="92">
        <f>TabSpecificationWork_2[[#This Row],[COST DEAL $SALE]]-TabSpecificationWork_2[[#This Row],[DISCOUNT MONEY]]</f>
        <v>150000</v>
      </c>
      <c r="R41" s="98">
        <f>TabSpecificationWork_2[[#This Row],[COST $TOTAL]] * TabSpecificationWork_2[[#This Row],[VAT RATE CONTRACTOR $TOTAL]]</f>
        <v>33000</v>
      </c>
      <c r="S41" s="92">
        <f>TabSpecificationWork_2[[#This Row],[COST $TOTAL]] + TabSpecificationWork_2[[#This Row],[COST ADD VAT $TOTAL]]</f>
        <v>183000</v>
      </c>
      <c r="T41" s="94">
        <v>14</v>
      </c>
      <c r="U41" s="95" t="s">
        <v>29</v>
      </c>
      <c r="V41" s="95" t="s">
        <v>35</v>
      </c>
      <c r="W41" s="96"/>
    </row>
    <row r="42" spans="1:23" ht="72" x14ac:dyDescent="0.3">
      <c r="A42" s="31" t="str">
        <v>Инжиниринг предпроектный - КД</v>
      </c>
      <c r="B42" s="6" t="str">
        <v>3.601.2</v>
      </c>
      <c r="C42" s="6">
        <v>1</v>
      </c>
      <c r="D42" s="31" t="str">
        <v>Разработка ТЗ №1 на изделие в целом.
Постаматный вендинговый аппарат, модель Wate Tecnology С80P/master</v>
      </c>
      <c r="E42" s="15" t="str">
        <v>8/2026-n3-горизонт-ver_1-set_3.601.2-true</v>
      </c>
      <c r="F42" s="85" t="str">
        <f t="shared" si="2"/>
        <v>8/2026-n3-горизонт-ver_1-set_3.601.2-true</v>
      </c>
      <c r="G42" s="98">
        <f>30/20</f>
        <v>1.5</v>
      </c>
      <c r="H42" s="87">
        <f>TabSpecificationWork_2[[#This Row],[COEFFICIENT MARKUP]]*TabSpecificationWork_1[[#This Row],[PRICE UNIT $PURCHASE]]</f>
        <v>30000</v>
      </c>
      <c r="I42" s="99">
        <f>TabSpecificationWork_1[[#This Row],[QUANTITY TOTAL]]*TabSpecificationWork_2[[#This Row],[PRICE UNIT $SALE]]</f>
        <v>30000</v>
      </c>
      <c r="J42" s="88">
        <v>0</v>
      </c>
      <c r="K42" s="88">
        <f>(TabSpecificationWork_2[[#This Row],[COST DEAL $SALE]]/100)*TabSpecificationWork_2[[#This Row],[DISCOUNT PERCENT]]</f>
        <v>0</v>
      </c>
      <c r="L42" s="89"/>
      <c r="M42" s="90">
        <f>_xlfn.LET(
    _xlpm.projNum, _xlfn.XLOOKUP(TabSpecificationWork_2[[#This Row],[HASH COLLECTION]], TabSpecificationWork_1[HASH COLLECTION], TabSpecificationWork_1[NUM PROJECT], ""),
    _xlpm.company, UPPER(TRIM(_xlfn.TEXTAFTER(_xlpm.projNum, "-", 2))),
    IF(_xlpm.company="ГОРИЗОНТ", 0.22, 0)
)</f>
        <v>0.22</v>
      </c>
      <c r="N42" s="98">
        <f>TabSpecificationWork_2[[#This Row],[PRICE UNIT $SALE]]</f>
        <v>30000</v>
      </c>
      <c r="O42" s="98">
        <f>TabSpecificationWork_2[[#This Row],[PRICE UNIT $TOTAL]] * TabSpecificationWork_2[[#This Row],[VAT RATE CONTRACTOR $TOTAL]]</f>
        <v>6600</v>
      </c>
      <c r="P42" s="98">
        <f>TabSpecificationWork_2[[#This Row],[PRICE UNIT $TOTAL]] + TabSpecificationWork_2[[#This Row],[VAT ADD PRICE UNIT $TOTAL]]</f>
        <v>36600</v>
      </c>
      <c r="Q42" s="92">
        <f>TabSpecificationWork_2[[#This Row],[COST DEAL $SALE]]-TabSpecificationWork_2[[#This Row],[DISCOUNT MONEY]]</f>
        <v>30000</v>
      </c>
      <c r="R42" s="98">
        <f>TabSpecificationWork_2[[#This Row],[COST $TOTAL]] * TabSpecificationWork_2[[#This Row],[VAT RATE CONTRACTOR $TOTAL]]</f>
        <v>6600</v>
      </c>
      <c r="S42" s="92">
        <f>TabSpecificationWork_2[[#This Row],[COST $TOTAL]] + TabSpecificationWork_2[[#This Row],[COST ADD VAT $TOTAL]]</f>
        <v>36600</v>
      </c>
      <c r="T42" s="94">
        <v>7</v>
      </c>
      <c r="U42" s="95" t="s">
        <v>29</v>
      </c>
      <c r="V42" s="95" t="s">
        <v>35</v>
      </c>
      <c r="W42" s="96"/>
    </row>
    <row r="43" spans="1:23" ht="86.4" x14ac:dyDescent="0.3">
      <c r="A43" s="31" t="str">
        <v>Инжиниринг проектный - КД</v>
      </c>
      <c r="B43" s="6" t="str">
        <v>3.601.3</v>
      </c>
      <c r="C43" s="6">
        <v>1</v>
      </c>
      <c r="D43" s="31" t="str">
        <v>Разработка ТЗ №2 на адаптацию ПТК к данной модели.
Постаматный вендинговый аппарат, модель Wate Tecnology С80P/master</v>
      </c>
      <c r="E43" s="15" t="str">
        <v>8/2026-n3-горизонт-ver_1-set_3.601.3-true</v>
      </c>
      <c r="F43" s="85" t="str">
        <f t="shared" si="2"/>
        <v>8/2026-n3-горизонт-ver_1-set_3.601.3-true</v>
      </c>
      <c r="G43" s="98">
        <f>30/20</f>
        <v>1.5</v>
      </c>
      <c r="H43" s="87">
        <f>TabSpecificationWork_2[[#This Row],[COEFFICIENT MARKUP]]*TabSpecificationWork_1[[#This Row],[PRICE UNIT $PURCHASE]]</f>
        <v>30000</v>
      </c>
      <c r="I43" s="99">
        <f>TabSpecificationWork_1[[#This Row],[QUANTITY TOTAL]]*TabSpecificationWork_2[[#This Row],[PRICE UNIT $SALE]]</f>
        <v>30000</v>
      </c>
      <c r="J43" s="88">
        <v>0</v>
      </c>
      <c r="K43" s="88">
        <f>(TabSpecificationWork_2[[#This Row],[COST DEAL $SALE]]/100)*TabSpecificationWork_2[[#This Row],[DISCOUNT PERCENT]]</f>
        <v>0</v>
      </c>
      <c r="L43" s="89"/>
      <c r="M43" s="90">
        <f>_xlfn.LET(
    _xlpm.projNum, _xlfn.XLOOKUP(TabSpecificationWork_2[[#This Row],[HASH COLLECTION]], TabSpecificationWork_1[HASH COLLECTION], TabSpecificationWork_1[NUM PROJECT], ""),
    _xlpm.company, UPPER(TRIM(_xlfn.TEXTAFTER(_xlpm.projNum, "-", 2))),
    IF(_xlpm.company="ГОРИЗОНТ", 0.22, 0)
)</f>
        <v>0.22</v>
      </c>
      <c r="N43" s="98">
        <f>TabSpecificationWork_2[[#This Row],[PRICE UNIT $SALE]]</f>
        <v>30000</v>
      </c>
      <c r="O43" s="98">
        <f>TabSpecificationWork_2[[#This Row],[PRICE UNIT $TOTAL]] * TabSpecificationWork_2[[#This Row],[VAT RATE CONTRACTOR $TOTAL]]</f>
        <v>6600</v>
      </c>
      <c r="P43" s="98">
        <f>TabSpecificationWork_2[[#This Row],[PRICE UNIT $TOTAL]] + TabSpecificationWork_2[[#This Row],[VAT ADD PRICE UNIT $TOTAL]]</f>
        <v>36600</v>
      </c>
      <c r="Q43" s="92">
        <f>TabSpecificationWork_2[[#This Row],[COST DEAL $SALE]]-TabSpecificationWork_2[[#This Row],[DISCOUNT MONEY]]</f>
        <v>30000</v>
      </c>
      <c r="R43" s="98">
        <f>TabSpecificationWork_2[[#This Row],[COST $TOTAL]] * TabSpecificationWork_2[[#This Row],[VAT RATE CONTRACTOR $TOTAL]]</f>
        <v>6600</v>
      </c>
      <c r="S43" s="92">
        <f>TabSpecificationWork_2[[#This Row],[COST $TOTAL]] + TabSpecificationWork_2[[#This Row],[COST ADD VAT $TOTAL]]</f>
        <v>36600</v>
      </c>
      <c r="T43" s="94">
        <v>7</v>
      </c>
      <c r="U43" s="95" t="s">
        <v>29</v>
      </c>
      <c r="V43" s="95" t="s">
        <v>35</v>
      </c>
      <c r="W43" s="96"/>
    </row>
    <row r="44" spans="1:23" ht="100.8" x14ac:dyDescent="0.3">
      <c r="A44" s="31" t="str">
        <v>Инжиниринг проектный - АСУ</v>
      </c>
      <c r="B44" s="6" t="str">
        <v>3.602.1</v>
      </c>
      <c r="C44" s="6">
        <v>1</v>
      </c>
      <c r="D44" s="31" t="str">
        <v>Адаптация, комплектование и сборка ПТК в соответствии с ТЗ №2.
Постаматный вендинговый аппарат, модель Wate Tecnology С80P/master</v>
      </c>
      <c r="E44" s="15" t="str">
        <v>8/2026-n3-горизонт-ver_1-set_3.602.1-true</v>
      </c>
      <c r="F44" s="85" t="str">
        <f t="shared" si="2"/>
        <v>8/2026-n3-горизонт-ver_1-set_3.602.1-true</v>
      </c>
      <c r="G44" s="98">
        <v>3.2</v>
      </c>
      <c r="H44" s="87">
        <f>TabSpecificationWork_2[[#This Row],[COEFFICIENT MARKUP]]*TabSpecificationWork_1[[#This Row],[PRICE UNIT $PURCHASE]]</f>
        <v>2560000</v>
      </c>
      <c r="I44" s="99">
        <f>TabSpecificationWork_1[[#This Row],[QUANTITY TOTAL]]*TabSpecificationWork_2[[#This Row],[PRICE UNIT $SALE]]</f>
        <v>2560000</v>
      </c>
      <c r="J44" s="88">
        <v>0</v>
      </c>
      <c r="K44" s="88">
        <f>(TabSpecificationWork_2[[#This Row],[COST DEAL $SALE]]/100)*TabSpecificationWork_2[[#This Row],[DISCOUNT PERCENT]]</f>
        <v>0</v>
      </c>
      <c r="L44" s="89"/>
      <c r="M44" s="90">
        <f>_xlfn.LET(
    _xlpm.projNum, _xlfn.XLOOKUP(TabSpecificationWork_2[[#This Row],[HASH COLLECTION]], TabSpecificationWork_1[HASH COLLECTION], TabSpecificationWork_1[NUM PROJECT], ""),
    _xlpm.company, UPPER(TRIM(_xlfn.TEXTAFTER(_xlpm.projNum, "-", 2))),
    IF(_xlpm.company="ГОРИЗОНТ", 0.22, 0)
)</f>
        <v>0.22</v>
      </c>
      <c r="N44" s="98">
        <f>TabSpecificationWork_2[[#This Row],[PRICE UNIT $SALE]]</f>
        <v>2560000</v>
      </c>
      <c r="O44" s="98">
        <f>TabSpecificationWork_2[[#This Row],[PRICE UNIT $TOTAL]] * TabSpecificationWork_2[[#This Row],[VAT RATE CONTRACTOR $TOTAL]]</f>
        <v>563200</v>
      </c>
      <c r="P44" s="98">
        <f>TabSpecificationWork_2[[#This Row],[PRICE UNIT $TOTAL]] + TabSpecificationWork_2[[#This Row],[VAT ADD PRICE UNIT $TOTAL]]</f>
        <v>3123200</v>
      </c>
      <c r="Q44" s="92">
        <f>TabSpecificationWork_2[[#This Row],[COST DEAL $SALE]]-TabSpecificationWork_2[[#This Row],[DISCOUNT MONEY]]</f>
        <v>2560000</v>
      </c>
      <c r="R44" s="98">
        <f>TabSpecificationWork_2[[#This Row],[COST $TOTAL]] * TabSpecificationWork_2[[#This Row],[VAT RATE CONTRACTOR $TOTAL]]</f>
        <v>563200</v>
      </c>
      <c r="S44" s="92">
        <f>TabSpecificationWork_2[[#This Row],[COST $TOTAL]] + TabSpecificationWork_2[[#This Row],[COST ADD VAT $TOTAL]]</f>
        <v>3123200</v>
      </c>
      <c r="T44" s="94">
        <v>108</v>
      </c>
      <c r="U44" s="95" t="s">
        <v>29</v>
      </c>
      <c r="V44" s="95" t="s">
        <v>35</v>
      </c>
      <c r="W44" s="96"/>
    </row>
    <row r="45" spans="1:23" ht="100.8" x14ac:dyDescent="0.3">
      <c r="A45" s="31" t="str">
        <v>Инжиниринг постпроектный - КД</v>
      </c>
      <c r="B45" s="6" t="str">
        <v>3.603.1</v>
      </c>
      <c r="C45" s="6">
        <v>1</v>
      </c>
      <c r="D45" s="31" t="str">
        <v>Комплексное тестирование аппарата на базе новой системы управления.
Постаматный вендинговый аппарат, модель Wate Tecnology С80P/master</v>
      </c>
      <c r="E45" s="15" t="str">
        <v>8/2026-n3-горизонт-ver_1-set_3.603.1-true</v>
      </c>
      <c r="F45" s="85" t="str">
        <f t="shared" si="2"/>
        <v>8/2026-n3-горизонт-ver_1-set_3.603.1-true</v>
      </c>
      <c r="G45" s="98">
        <v>1.17</v>
      </c>
      <c r="H45" s="87">
        <f>TabSpecificationWork_2[[#This Row],[COEFFICIENT MARKUP]]*TabSpecificationWork_1[[#This Row],[PRICE UNIT $PURCHASE]]</f>
        <v>351000</v>
      </c>
      <c r="I45" s="99">
        <f>TabSpecificationWork_1[[#This Row],[QUANTITY TOTAL]]*TabSpecificationWork_2[[#This Row],[PRICE UNIT $SALE]]</f>
        <v>351000</v>
      </c>
      <c r="J45" s="88">
        <v>0</v>
      </c>
      <c r="K45" s="88">
        <f>(TabSpecificationWork_2[[#This Row],[COST DEAL $SALE]]/100)*TabSpecificationWork_2[[#This Row],[DISCOUNT PERCENT]]</f>
        <v>0</v>
      </c>
      <c r="L45" s="89"/>
      <c r="M45" s="90">
        <f>_xlfn.LET(
    _xlpm.projNum, _xlfn.XLOOKUP(TabSpecificationWork_2[[#This Row],[HASH COLLECTION]], TabSpecificationWork_1[HASH COLLECTION], TabSpecificationWork_1[NUM PROJECT], ""),
    _xlpm.company, UPPER(TRIM(_xlfn.TEXTAFTER(_xlpm.projNum, "-", 2))),
    IF(_xlpm.company="ГОРИЗОНТ", 0.22, 0)
)</f>
        <v>0.22</v>
      </c>
      <c r="N45" s="98">
        <f>TabSpecificationWork_2[[#This Row],[PRICE UNIT $SALE]]</f>
        <v>351000</v>
      </c>
      <c r="O45" s="98">
        <f>TabSpecificationWork_2[[#This Row],[PRICE UNIT $TOTAL]] * TabSpecificationWork_2[[#This Row],[VAT RATE CONTRACTOR $TOTAL]]</f>
        <v>77220</v>
      </c>
      <c r="P45" s="98">
        <f>TabSpecificationWork_2[[#This Row],[PRICE UNIT $TOTAL]] + TabSpecificationWork_2[[#This Row],[VAT ADD PRICE UNIT $TOTAL]]</f>
        <v>428220</v>
      </c>
      <c r="Q45" s="92">
        <f>TabSpecificationWork_2[[#This Row],[COST DEAL $SALE]]-TabSpecificationWork_2[[#This Row],[DISCOUNT MONEY]]</f>
        <v>351000</v>
      </c>
      <c r="R45" s="98">
        <f>TabSpecificationWork_2[[#This Row],[COST $TOTAL]] * TabSpecificationWork_2[[#This Row],[VAT RATE CONTRACTOR $TOTAL]]</f>
        <v>77220</v>
      </c>
      <c r="S45" s="92">
        <f>TabSpecificationWork_2[[#This Row],[COST $TOTAL]] + TabSpecificationWork_2[[#This Row],[COST ADD VAT $TOTAL]]</f>
        <v>428220</v>
      </c>
      <c r="T45" s="94">
        <v>14</v>
      </c>
      <c r="U45" s="95" t="s">
        <v>29</v>
      </c>
      <c r="V45" s="95" t="s">
        <v>35</v>
      </c>
      <c r="W45" s="96" t="s">
        <v>660</v>
      </c>
    </row>
    <row r="46" spans="1:23" ht="86.4" hidden="1" x14ac:dyDescent="0.3">
      <c r="A46" s="31" t="str">
        <v>Инжиниринг проектный - КД</v>
      </c>
      <c r="B46" s="6" t="str">
        <v>3.701.1</v>
      </c>
      <c r="C46" s="6">
        <v>1</v>
      </c>
      <c r="D46" s="31" t="str">
        <v>Инженерный анализ существующей конструкции изделия.
Постаматный вендинговый аппарат, модель Wate Tecnology С80/slave</v>
      </c>
      <c r="E46" s="15" t="str">
        <v>8/2026-n3-горизонт-ver_1-set_3.701.1-false</v>
      </c>
      <c r="F46" s="85" t="str">
        <f t="shared" si="2"/>
        <v>8/2026-n3-горизонт-ver_1-set_3.701.1-false</v>
      </c>
      <c r="G46" s="98">
        <f>150/100</f>
        <v>1.5</v>
      </c>
      <c r="H46" s="87">
        <f>TabSpecificationWork_2[[#This Row],[COEFFICIENT MARKUP]]*TabSpecificationWork_1[[#This Row],[PRICE UNIT $PURCHASE]]</f>
        <v>150000</v>
      </c>
      <c r="I46" s="99">
        <f>TabSpecificationWork_1[[#This Row],[QUANTITY TOTAL]]*TabSpecificationWork_2[[#This Row],[PRICE UNIT $SALE]]</f>
        <v>150000</v>
      </c>
      <c r="J46" s="88">
        <v>0</v>
      </c>
      <c r="K46" s="88">
        <f>(TabSpecificationWork_2[[#This Row],[COST DEAL $SALE]]/100)*TabSpecificationWork_2[[#This Row],[DISCOUNT PERCENT]]</f>
        <v>0</v>
      </c>
      <c r="L46" s="89"/>
      <c r="M46" s="90">
        <f>_xlfn.LET(
    _xlpm.projNum, _xlfn.XLOOKUP(TabSpecificationWork_2[[#This Row],[HASH COLLECTION]], TabSpecificationWork_1[HASH COLLECTION], TabSpecificationWork_1[NUM PROJECT], ""),
    _xlpm.company, UPPER(TRIM(_xlfn.TEXTAFTER(_xlpm.projNum, "-", 2))),
    IF(_xlpm.company="ГОРИЗОНТ", 0.22, 0)
)</f>
        <v>0.22</v>
      </c>
      <c r="N46" s="98">
        <f>TabSpecificationWork_2[[#This Row],[PRICE UNIT $SALE]]</f>
        <v>150000</v>
      </c>
      <c r="O46" s="88">
        <f>TabSpecificationWork_2[[#This Row],[PRICE UNIT $TOTAL]] * TabSpecificationWork_2[[#This Row],[VAT RATE CONTRACTOR $TOTAL]]</f>
        <v>33000</v>
      </c>
      <c r="P46" s="88">
        <f>TabSpecificationWork_2[[#This Row],[PRICE UNIT $TOTAL]] + TabSpecificationWork_2[[#This Row],[VAT ADD PRICE UNIT $TOTAL]]</f>
        <v>183000</v>
      </c>
      <c r="Q46" s="92">
        <f>TabSpecificationWork_2[[#This Row],[COST DEAL $SALE]]-TabSpecificationWork_2[[#This Row],[DISCOUNT MONEY]]</f>
        <v>150000</v>
      </c>
      <c r="R46" s="88">
        <f>TabSpecificationWork_2[[#This Row],[COST $TOTAL]] * TabSpecificationWork_2[[#This Row],[VAT RATE CONTRACTOR $TOTAL]]</f>
        <v>33000</v>
      </c>
      <c r="S46" s="92">
        <f>TabSpecificationWork_2[[#This Row],[COST $TOTAL]] + TabSpecificationWork_2[[#This Row],[COST ADD VAT $TOTAL]]</f>
        <v>183000</v>
      </c>
      <c r="T46" s="94">
        <v>14</v>
      </c>
      <c r="U46" s="95" t="s">
        <v>35</v>
      </c>
      <c r="V46" s="95" t="s">
        <v>35</v>
      </c>
      <c r="W46" s="96"/>
    </row>
    <row r="47" spans="1:23" ht="72" hidden="1" x14ac:dyDescent="0.3">
      <c r="A47" s="31" t="str">
        <v>Инжиниринг предпроектный - КД</v>
      </c>
      <c r="B47" s="6" t="str">
        <v>3.701.2</v>
      </c>
      <c r="C47" s="6">
        <v>1</v>
      </c>
      <c r="D47" s="31" t="str">
        <v>Разработка ТЗ №1 на изделие в целом.
Постаматный вендинговый аппарат, модель Wate Tecnology С80/slave</v>
      </c>
      <c r="E47" s="15" t="str">
        <v>8/2026-n3-горизонт-ver_1-set_3.701.2-false</v>
      </c>
      <c r="F47" s="85" t="str">
        <f t="shared" si="2"/>
        <v>8/2026-n3-горизонт-ver_1-set_3.701.2-false</v>
      </c>
      <c r="G47" s="98">
        <f>30/20</f>
        <v>1.5</v>
      </c>
      <c r="H47" s="87">
        <f>TabSpecificationWork_2[[#This Row],[COEFFICIENT MARKUP]]*TabSpecificationWork_1[[#This Row],[PRICE UNIT $PURCHASE]]</f>
        <v>30000</v>
      </c>
      <c r="I47" s="99">
        <f>TabSpecificationWork_1[[#This Row],[QUANTITY TOTAL]]*TabSpecificationWork_2[[#This Row],[PRICE UNIT $SALE]]</f>
        <v>30000</v>
      </c>
      <c r="J47" s="88">
        <v>0</v>
      </c>
      <c r="K47" s="88">
        <f>(TabSpecificationWork_2[[#This Row],[COST DEAL $SALE]]/100)*TabSpecificationWork_2[[#This Row],[DISCOUNT PERCENT]]</f>
        <v>0</v>
      </c>
      <c r="L47" s="89"/>
      <c r="M47" s="90">
        <f>_xlfn.LET(
    _xlpm.projNum, _xlfn.XLOOKUP(TabSpecificationWork_2[[#This Row],[HASH COLLECTION]], TabSpecificationWork_1[HASH COLLECTION], TabSpecificationWork_1[NUM PROJECT], ""),
    _xlpm.company, UPPER(TRIM(_xlfn.TEXTAFTER(_xlpm.projNum, "-", 2))),
    IF(_xlpm.company="ГОРИЗОНТ", 0.22, 0)
)</f>
        <v>0.22</v>
      </c>
      <c r="N47" s="98">
        <f>TabSpecificationWork_2[[#This Row],[PRICE UNIT $SALE]]</f>
        <v>30000</v>
      </c>
      <c r="O47" s="88">
        <f>TabSpecificationWork_2[[#This Row],[PRICE UNIT $TOTAL]] * TabSpecificationWork_2[[#This Row],[VAT RATE CONTRACTOR $TOTAL]]</f>
        <v>6600</v>
      </c>
      <c r="P47" s="88">
        <f>TabSpecificationWork_2[[#This Row],[PRICE UNIT $TOTAL]] + TabSpecificationWork_2[[#This Row],[VAT ADD PRICE UNIT $TOTAL]]</f>
        <v>36600</v>
      </c>
      <c r="Q47" s="92">
        <f>TabSpecificationWork_2[[#This Row],[COST DEAL $SALE]]-TabSpecificationWork_2[[#This Row],[DISCOUNT MONEY]]</f>
        <v>30000</v>
      </c>
      <c r="R47" s="88">
        <f>TabSpecificationWork_2[[#This Row],[COST $TOTAL]] * TabSpecificationWork_2[[#This Row],[VAT RATE CONTRACTOR $TOTAL]]</f>
        <v>6600</v>
      </c>
      <c r="S47" s="92">
        <f>TabSpecificationWork_2[[#This Row],[COST $TOTAL]] + TabSpecificationWork_2[[#This Row],[COST ADD VAT $TOTAL]]</f>
        <v>36600</v>
      </c>
      <c r="T47" s="94">
        <v>7</v>
      </c>
      <c r="U47" s="95" t="s">
        <v>35</v>
      </c>
      <c r="V47" s="95" t="s">
        <v>35</v>
      </c>
      <c r="W47" s="96"/>
    </row>
    <row r="48" spans="1:23" ht="86.4" hidden="1" x14ac:dyDescent="0.3">
      <c r="A48" s="31" t="str">
        <v>Инжиниринг проектный - КД</v>
      </c>
      <c r="B48" s="6" t="str">
        <v>3.701.3</v>
      </c>
      <c r="C48" s="6">
        <v>1</v>
      </c>
      <c r="D48" s="31" t="str">
        <v>Разработка ТЗ №2 на адаптацию ПТК к данной модели.
Постаматный вендинговый аппарат, модель Wate Tecnology С80/slave</v>
      </c>
      <c r="E48" s="15" t="str">
        <v>8/2026-n3-горизонт-ver_1-set_3.701.3-false</v>
      </c>
      <c r="F48" s="85" t="str">
        <f t="shared" si="2"/>
        <v>8/2026-n3-горизонт-ver_1-set_3.701.3-false</v>
      </c>
      <c r="G48" s="98">
        <f>30/20</f>
        <v>1.5</v>
      </c>
      <c r="H48" s="87">
        <f>TabSpecificationWork_2[[#This Row],[COEFFICIENT MARKUP]]*TabSpecificationWork_1[[#This Row],[PRICE UNIT $PURCHASE]]</f>
        <v>30000</v>
      </c>
      <c r="I48" s="99">
        <f>TabSpecificationWork_1[[#This Row],[QUANTITY TOTAL]]*TabSpecificationWork_2[[#This Row],[PRICE UNIT $SALE]]</f>
        <v>30000</v>
      </c>
      <c r="J48" s="88">
        <v>0</v>
      </c>
      <c r="K48" s="88">
        <f>(TabSpecificationWork_2[[#This Row],[COST DEAL $SALE]]/100)*TabSpecificationWork_2[[#This Row],[DISCOUNT PERCENT]]</f>
        <v>0</v>
      </c>
      <c r="L48" s="89"/>
      <c r="M48" s="90">
        <f>_xlfn.LET(
    _xlpm.projNum, _xlfn.XLOOKUP(TabSpecificationWork_2[[#This Row],[HASH COLLECTION]], TabSpecificationWork_1[HASH COLLECTION], TabSpecificationWork_1[NUM PROJECT], ""),
    _xlpm.company, UPPER(TRIM(_xlfn.TEXTAFTER(_xlpm.projNum, "-", 2))),
    IF(_xlpm.company="ГОРИЗОНТ", 0.22, 0)
)</f>
        <v>0.22</v>
      </c>
      <c r="N48" s="98">
        <f>TabSpecificationWork_2[[#This Row],[PRICE UNIT $SALE]]</f>
        <v>30000</v>
      </c>
      <c r="O48" s="88">
        <f>TabSpecificationWork_2[[#This Row],[PRICE UNIT $TOTAL]] * TabSpecificationWork_2[[#This Row],[VAT RATE CONTRACTOR $TOTAL]]</f>
        <v>6600</v>
      </c>
      <c r="P48" s="88">
        <f>TabSpecificationWork_2[[#This Row],[PRICE UNIT $TOTAL]] + TabSpecificationWork_2[[#This Row],[VAT ADD PRICE UNIT $TOTAL]]</f>
        <v>36600</v>
      </c>
      <c r="Q48" s="92">
        <f>TabSpecificationWork_2[[#This Row],[COST DEAL $SALE]]-TabSpecificationWork_2[[#This Row],[DISCOUNT MONEY]]</f>
        <v>30000</v>
      </c>
      <c r="R48" s="88">
        <f>TabSpecificationWork_2[[#This Row],[COST $TOTAL]] * TabSpecificationWork_2[[#This Row],[VAT RATE CONTRACTOR $TOTAL]]</f>
        <v>6600</v>
      </c>
      <c r="S48" s="92">
        <f>TabSpecificationWork_2[[#This Row],[COST $TOTAL]] + TabSpecificationWork_2[[#This Row],[COST ADD VAT $TOTAL]]</f>
        <v>36600</v>
      </c>
      <c r="T48" s="94">
        <v>7</v>
      </c>
      <c r="U48" s="95" t="s">
        <v>35</v>
      </c>
      <c r="V48" s="95" t="s">
        <v>35</v>
      </c>
      <c r="W48" s="96"/>
    </row>
    <row r="49" spans="1:23" ht="100.8" hidden="1" x14ac:dyDescent="0.3">
      <c r="A49" s="31" t="str">
        <v>Инжиниринг проектный - АСУ</v>
      </c>
      <c r="B49" s="6" t="str">
        <v>3.702.1</v>
      </c>
      <c r="C49" s="6">
        <v>1</v>
      </c>
      <c r="D49" s="31" t="str">
        <v>Адаптация, комплектование и сборка ПТК в соответствии с ТЗ №2.
Постаматный вендинговый аппарат, модель Wate Tecnology С80/slave</v>
      </c>
      <c r="E49" s="15" t="str">
        <v>8/2026-n3-горизонт-ver_1-set_3.702.1-false</v>
      </c>
      <c r="F49" s="85" t="str">
        <f t="shared" si="2"/>
        <v>8/2026-n3-горизонт-ver_1-set_3.702.1-false</v>
      </c>
      <c r="G49" s="98">
        <v>3.2</v>
      </c>
      <c r="H49" s="87">
        <f>TabSpecificationWork_2[[#This Row],[COEFFICIENT MARKUP]]*TabSpecificationWork_1[[#This Row],[PRICE UNIT $PURCHASE]]</f>
        <v>2560000</v>
      </c>
      <c r="I49" s="99">
        <f>TabSpecificationWork_1[[#This Row],[QUANTITY TOTAL]]*TabSpecificationWork_2[[#This Row],[PRICE UNIT $SALE]]</f>
        <v>2560000</v>
      </c>
      <c r="J49" s="88">
        <v>0</v>
      </c>
      <c r="K49" s="88">
        <f>(TabSpecificationWork_2[[#This Row],[COST DEAL $SALE]]/100)*TabSpecificationWork_2[[#This Row],[DISCOUNT PERCENT]]</f>
        <v>0</v>
      </c>
      <c r="L49" s="89"/>
      <c r="M49" s="90">
        <f>_xlfn.LET(
    _xlpm.projNum, _xlfn.XLOOKUP(TabSpecificationWork_2[[#This Row],[HASH COLLECTION]], TabSpecificationWork_1[HASH COLLECTION], TabSpecificationWork_1[NUM PROJECT], ""),
    _xlpm.company, UPPER(TRIM(_xlfn.TEXTAFTER(_xlpm.projNum, "-", 2))),
    IF(_xlpm.company="ГОРИЗОНТ", 0.22, 0)
)</f>
        <v>0.22</v>
      </c>
      <c r="N49" s="98">
        <f>TabSpecificationWork_2[[#This Row],[PRICE UNIT $SALE]]</f>
        <v>2560000</v>
      </c>
      <c r="O49" s="88">
        <f>TabSpecificationWork_2[[#This Row],[PRICE UNIT $TOTAL]] * TabSpecificationWork_2[[#This Row],[VAT RATE CONTRACTOR $TOTAL]]</f>
        <v>563200</v>
      </c>
      <c r="P49" s="88">
        <f>TabSpecificationWork_2[[#This Row],[PRICE UNIT $TOTAL]] + TabSpecificationWork_2[[#This Row],[VAT ADD PRICE UNIT $TOTAL]]</f>
        <v>3123200</v>
      </c>
      <c r="Q49" s="92">
        <f>TabSpecificationWork_2[[#This Row],[COST DEAL $SALE]]-TabSpecificationWork_2[[#This Row],[DISCOUNT MONEY]]</f>
        <v>2560000</v>
      </c>
      <c r="R49" s="88">
        <f>TabSpecificationWork_2[[#This Row],[COST $TOTAL]] * TabSpecificationWork_2[[#This Row],[VAT RATE CONTRACTOR $TOTAL]]</f>
        <v>563200</v>
      </c>
      <c r="S49" s="92">
        <f>TabSpecificationWork_2[[#This Row],[COST $TOTAL]] + TabSpecificationWork_2[[#This Row],[COST ADD VAT $TOTAL]]</f>
        <v>3123200</v>
      </c>
      <c r="T49" s="94">
        <v>108</v>
      </c>
      <c r="U49" s="95" t="s">
        <v>35</v>
      </c>
      <c r="V49" s="95" t="s">
        <v>35</v>
      </c>
      <c r="W49" s="96"/>
    </row>
    <row r="50" spans="1:23" ht="100.8" hidden="1" x14ac:dyDescent="0.3">
      <c r="A50" s="31" t="str">
        <v>Инжиниринг постпроектный - КД</v>
      </c>
      <c r="B50" s="6" t="str">
        <v>3.703.1</v>
      </c>
      <c r="C50" s="6">
        <v>1</v>
      </c>
      <c r="D50" s="31" t="str">
        <v>Комплексное тестирование аппарата на базе новой системы управления.
Постаматный вендинговый аппарат, модель Wate Tecnology С80/slave</v>
      </c>
      <c r="E50" s="15" t="str">
        <v>8/2026-n3-горизонт-ver_1-set_3.703.1-false</v>
      </c>
      <c r="F50" s="85" t="str">
        <f t="shared" si="2"/>
        <v>8/2026-n3-горизонт-ver_1-set_3.703.1-false</v>
      </c>
      <c r="G50" s="98">
        <v>1.17</v>
      </c>
      <c r="H50" s="87">
        <f>TabSpecificationWork_2[[#This Row],[COEFFICIENT MARKUP]]*TabSpecificationWork_1[[#This Row],[PRICE UNIT $PURCHASE]]</f>
        <v>351000</v>
      </c>
      <c r="I50" s="99">
        <f>TabSpecificationWork_1[[#This Row],[QUANTITY TOTAL]]*TabSpecificationWork_2[[#This Row],[PRICE UNIT $SALE]]</f>
        <v>351000</v>
      </c>
      <c r="J50" s="88">
        <v>0</v>
      </c>
      <c r="K50" s="88">
        <f>(TabSpecificationWork_2[[#This Row],[COST DEAL $SALE]]/100)*TabSpecificationWork_2[[#This Row],[DISCOUNT PERCENT]]</f>
        <v>0</v>
      </c>
      <c r="L50" s="89"/>
      <c r="M50" s="90">
        <f>_xlfn.LET(
    _xlpm.projNum, _xlfn.XLOOKUP(TabSpecificationWork_2[[#This Row],[HASH COLLECTION]], TabSpecificationWork_1[HASH COLLECTION], TabSpecificationWork_1[NUM PROJECT], ""),
    _xlpm.company, UPPER(TRIM(_xlfn.TEXTAFTER(_xlpm.projNum, "-", 2))),
    IF(_xlpm.company="ГОРИЗОНТ", 0.22, 0)
)</f>
        <v>0.22</v>
      </c>
      <c r="N50" s="98">
        <f>TabSpecificationWork_2[[#This Row],[PRICE UNIT $SALE]]</f>
        <v>351000</v>
      </c>
      <c r="O50" s="88">
        <f>TabSpecificationWork_2[[#This Row],[PRICE UNIT $TOTAL]] * TabSpecificationWork_2[[#This Row],[VAT RATE CONTRACTOR $TOTAL]]</f>
        <v>77220</v>
      </c>
      <c r="P50" s="88">
        <f>TabSpecificationWork_2[[#This Row],[PRICE UNIT $TOTAL]] + TabSpecificationWork_2[[#This Row],[VAT ADD PRICE UNIT $TOTAL]]</f>
        <v>428220</v>
      </c>
      <c r="Q50" s="92">
        <f>TabSpecificationWork_2[[#This Row],[COST DEAL $SALE]]-TabSpecificationWork_2[[#This Row],[DISCOUNT MONEY]]</f>
        <v>351000</v>
      </c>
      <c r="R50" s="88">
        <f>TabSpecificationWork_2[[#This Row],[COST $TOTAL]] * TabSpecificationWork_2[[#This Row],[VAT RATE CONTRACTOR $TOTAL]]</f>
        <v>77220</v>
      </c>
      <c r="S50" s="92">
        <f>TabSpecificationWork_2[[#This Row],[COST $TOTAL]] + TabSpecificationWork_2[[#This Row],[COST ADD VAT $TOTAL]]</f>
        <v>428220</v>
      </c>
      <c r="T50" s="94">
        <v>14</v>
      </c>
      <c r="U50" s="95" t="s">
        <v>35</v>
      </c>
      <c r="V50" s="95" t="s">
        <v>35</v>
      </c>
      <c r="W50" s="96" t="s">
        <v>660</v>
      </c>
    </row>
    <row r="51" spans="1:23" ht="86.4" hidden="1" x14ac:dyDescent="0.3">
      <c r="A51" s="31" t="str">
        <v>Инжиниринг постпроектный - консалтинг</v>
      </c>
      <c r="B51" s="6" t="str">
        <v>3.104.1</v>
      </c>
      <c r="C51" s="6">
        <v>1</v>
      </c>
      <c r="D51" s="31" t="str">
        <v>Консалтинговые услуги. Выездная приемка комплектующих на территории производител, модель Wate Tecnology L8050 stand-alone/master</v>
      </c>
      <c r="E51" s="15" t="str">
        <v>8/2026-n3-горизонт-ver_1-set_3.104.1-false</v>
      </c>
      <c r="F51" s="85" t="str">
        <f t="shared" si="2"/>
        <v>8/2026-n3-горизонт-ver_1-set_3.104.1-false</v>
      </c>
      <c r="G51" s="116">
        <v>1</v>
      </c>
      <c r="H51" s="87">
        <f>TabSpecificationWork_2[[#This Row],[COEFFICIENT MARKUP]]*TabSpecificationWork_1[[#This Row],[PRICE UNIT $PURCHASE]]</f>
        <v>33300</v>
      </c>
      <c r="I51" s="87">
        <f>TabSpecificationWork_1[[#This Row],[QUANTITY TOTAL]]*TabSpecificationWork_2[[#This Row],[PRICE UNIT $SALE]]</f>
        <v>33300</v>
      </c>
      <c r="J51" s="88">
        <v>0</v>
      </c>
      <c r="K51" s="88">
        <f>(TabSpecificationWork_2[[#This Row],[COST DEAL $SALE]]/100)*TabSpecificationWork_2[[#This Row],[DISCOUNT PERCENT]]</f>
        <v>0</v>
      </c>
      <c r="L51" s="89"/>
      <c r="M51" s="90">
        <f>_xlfn.LET(
    _xlpm.projNum, _xlfn.XLOOKUP(TabSpecificationWork_2[[#This Row],[HASH COLLECTION]], TabSpecificationWork_1[HASH COLLECTION], TabSpecificationWork_1[NUM PROJECT], ""),
    _xlpm.company, UPPER(TRIM(_xlfn.TEXTAFTER(_xlpm.projNum, "-", 2))),
    IF(_xlpm.company="ГОРИЗОНТ", 0.22, 0)
)</f>
        <v>0.22</v>
      </c>
      <c r="N51" s="98">
        <f>TabSpecificationWork_2[[#This Row],[PRICE UNIT $SALE]]</f>
        <v>33300</v>
      </c>
      <c r="O51" s="98">
        <f>TabSpecificationWork_2[[#This Row],[PRICE UNIT $TOTAL]] * TabSpecificationWork_2[[#This Row],[VAT RATE CONTRACTOR $TOTAL]]</f>
        <v>7326</v>
      </c>
      <c r="P51" s="98">
        <f>TabSpecificationWork_2[[#This Row],[PRICE UNIT $TOTAL]] + TabSpecificationWork_2[[#This Row],[VAT ADD PRICE UNIT $TOTAL]]</f>
        <v>40626</v>
      </c>
      <c r="Q51" s="92">
        <f>TabSpecificationWork_2[[#This Row],[COST DEAL $SALE]]-TabSpecificationWork_2[[#This Row],[DISCOUNT MONEY]]</f>
        <v>33300</v>
      </c>
      <c r="R51" s="98">
        <f>TabSpecificationWork_2[[#This Row],[COST $TOTAL]] * TabSpecificationWork_2[[#This Row],[VAT RATE CONTRACTOR $TOTAL]]</f>
        <v>7326</v>
      </c>
      <c r="S51" s="92">
        <f>TabSpecificationWork_2[[#This Row],[COST $TOTAL]] + TabSpecificationWork_2[[#This Row],[COST ADD VAT $TOTAL]]</f>
        <v>40626</v>
      </c>
      <c r="T51" s="120">
        <v>7</v>
      </c>
      <c r="U51" s="95" t="s">
        <v>35</v>
      </c>
      <c r="V51" s="95" t="s">
        <v>35</v>
      </c>
      <c r="W51" s="96"/>
    </row>
    <row r="52" spans="1:23" ht="86.4" x14ac:dyDescent="0.3">
      <c r="A52" s="31" t="str">
        <v>Инжиниринг постпроектный - консалтинг</v>
      </c>
      <c r="B52" s="6" t="str">
        <v>3.204.1</v>
      </c>
      <c r="C52" s="6">
        <v>1</v>
      </c>
      <c r="D52" s="31" t="str">
        <v>Консалтинговые услуги. Выездная приемка комплектующих на территории производител, модель Wate Tecnology L8050/master</v>
      </c>
      <c r="E52" s="15" t="str">
        <v>8/2026-n3-горизонт-ver_1-set_3.204.1-true</v>
      </c>
      <c r="F52" s="85" t="str">
        <f t="shared" si="2"/>
        <v>8/2026-n3-горизонт-ver_1-set_3.204.1-true</v>
      </c>
      <c r="G52" s="116">
        <v>1</v>
      </c>
      <c r="H52" s="87">
        <f>TabSpecificationWork_2[[#This Row],[COEFFICIENT MARKUP]]*TabSpecificationWork_1[[#This Row],[PRICE UNIT $PURCHASE]]</f>
        <v>33300</v>
      </c>
      <c r="I52" s="87">
        <f>TabSpecificationWork_1[[#This Row],[QUANTITY TOTAL]]*TabSpecificationWork_2[[#This Row],[PRICE UNIT $SALE]]</f>
        <v>33300</v>
      </c>
      <c r="J52" s="88">
        <v>0</v>
      </c>
      <c r="K52" s="88">
        <f>(TabSpecificationWork_2[[#This Row],[COST DEAL $SALE]]/100)*TabSpecificationWork_2[[#This Row],[DISCOUNT PERCENT]]</f>
        <v>0</v>
      </c>
      <c r="L52" s="89"/>
      <c r="M52" s="90">
        <f>_xlfn.LET(
    _xlpm.projNum, _xlfn.XLOOKUP(TabSpecificationWork_2[[#This Row],[HASH COLLECTION]], TabSpecificationWork_1[HASH COLLECTION], TabSpecificationWork_1[NUM PROJECT], ""),
    _xlpm.company, UPPER(TRIM(_xlfn.TEXTAFTER(_xlpm.projNum, "-", 2))),
    IF(_xlpm.company="ГОРИЗОНТ", 0.22, 0)
)</f>
        <v>0.22</v>
      </c>
      <c r="N52" s="98">
        <f>TabSpecificationWork_2[[#This Row],[PRICE UNIT $SALE]]</f>
        <v>33300</v>
      </c>
      <c r="O52" s="98">
        <f>TabSpecificationWork_2[[#This Row],[PRICE UNIT $TOTAL]] * TabSpecificationWork_2[[#This Row],[VAT RATE CONTRACTOR $TOTAL]]</f>
        <v>7326</v>
      </c>
      <c r="P52" s="98">
        <f>TabSpecificationWork_2[[#This Row],[PRICE UNIT $TOTAL]] + TabSpecificationWork_2[[#This Row],[VAT ADD PRICE UNIT $TOTAL]]</f>
        <v>40626</v>
      </c>
      <c r="Q52" s="92">
        <f>TabSpecificationWork_2[[#This Row],[COST DEAL $SALE]]-TabSpecificationWork_2[[#This Row],[DISCOUNT MONEY]]</f>
        <v>33300</v>
      </c>
      <c r="R52" s="98">
        <f>TabSpecificationWork_2[[#This Row],[COST $TOTAL]] * TabSpecificationWork_2[[#This Row],[VAT RATE CONTRACTOR $TOTAL]]</f>
        <v>7326</v>
      </c>
      <c r="S52" s="92">
        <f>TabSpecificationWork_2[[#This Row],[COST $TOTAL]] + TabSpecificationWork_2[[#This Row],[COST ADD VAT $TOTAL]]</f>
        <v>40626</v>
      </c>
      <c r="T52" s="120">
        <v>7</v>
      </c>
      <c r="U52" s="95" t="s">
        <v>29</v>
      </c>
      <c r="V52" s="95" t="s">
        <v>35</v>
      </c>
      <c r="W52" s="96"/>
    </row>
    <row r="53" spans="1:23" ht="86.4" x14ac:dyDescent="0.3">
      <c r="A53" s="31" t="str">
        <v>Инжиниринг постпроектный - консалтинг</v>
      </c>
      <c r="B53" s="6" t="str">
        <v>3.304.1</v>
      </c>
      <c r="C53" s="6">
        <v>1</v>
      </c>
      <c r="D53" s="31" t="str">
        <v>Консалтинговые услуги. Выездная приемка комплектующих на территории производител, модель Wate Tecnology  L80/master</v>
      </c>
      <c r="E53" s="15" t="str">
        <v>8/2026-n3-горизонт-ver_1-set_3.304.1-true</v>
      </c>
      <c r="F53" s="85" t="str">
        <f t="shared" si="2"/>
        <v>8/2026-n3-горизонт-ver_1-set_3.304.1-true</v>
      </c>
      <c r="G53" s="116">
        <v>1</v>
      </c>
      <c r="H53" s="87">
        <f>TabSpecificationWork_2[[#This Row],[COEFFICIENT MARKUP]]*TabSpecificationWork_1[[#This Row],[PRICE UNIT $PURCHASE]]</f>
        <v>33300</v>
      </c>
      <c r="I53" s="87">
        <f>TabSpecificationWork_1[[#This Row],[QUANTITY TOTAL]]*TabSpecificationWork_2[[#This Row],[PRICE UNIT $SALE]]</f>
        <v>33300</v>
      </c>
      <c r="J53" s="88">
        <v>0</v>
      </c>
      <c r="K53" s="88">
        <f>(TabSpecificationWork_2[[#This Row],[COST DEAL $SALE]]/100)*TabSpecificationWork_2[[#This Row],[DISCOUNT PERCENT]]</f>
        <v>0</v>
      </c>
      <c r="L53" s="89"/>
      <c r="M53" s="90">
        <f>_xlfn.LET(
    _xlpm.projNum, _xlfn.XLOOKUP(TabSpecificationWork_2[[#This Row],[HASH COLLECTION]], TabSpecificationWork_1[HASH COLLECTION], TabSpecificationWork_1[NUM PROJECT], ""),
    _xlpm.company, UPPER(TRIM(_xlfn.TEXTAFTER(_xlpm.projNum, "-", 2))),
    IF(_xlpm.company="ГОРИЗОНТ", 0.22, 0)
)</f>
        <v>0.22</v>
      </c>
      <c r="N53" s="98">
        <f>TabSpecificationWork_2[[#This Row],[PRICE UNIT $SALE]]</f>
        <v>33300</v>
      </c>
      <c r="O53" s="98">
        <f>TabSpecificationWork_2[[#This Row],[PRICE UNIT $TOTAL]] * TabSpecificationWork_2[[#This Row],[VAT RATE CONTRACTOR $TOTAL]]</f>
        <v>7326</v>
      </c>
      <c r="P53" s="98">
        <f>TabSpecificationWork_2[[#This Row],[PRICE UNIT $TOTAL]] + TabSpecificationWork_2[[#This Row],[VAT ADD PRICE UNIT $TOTAL]]</f>
        <v>40626</v>
      </c>
      <c r="Q53" s="92">
        <f>TabSpecificationWork_2[[#This Row],[COST DEAL $SALE]]-TabSpecificationWork_2[[#This Row],[DISCOUNT MONEY]]</f>
        <v>33300</v>
      </c>
      <c r="R53" s="98">
        <f>TabSpecificationWork_2[[#This Row],[COST $TOTAL]] * TabSpecificationWork_2[[#This Row],[VAT RATE CONTRACTOR $TOTAL]]</f>
        <v>7326</v>
      </c>
      <c r="S53" s="92">
        <f>TabSpecificationWork_2[[#This Row],[COST $TOTAL]] + TabSpecificationWork_2[[#This Row],[COST ADD VAT $TOTAL]]</f>
        <v>40626</v>
      </c>
      <c r="T53" s="120">
        <v>7</v>
      </c>
      <c r="U53" s="95" t="s">
        <v>29</v>
      </c>
      <c r="V53" s="95" t="s">
        <v>35</v>
      </c>
      <c r="W53" s="96"/>
    </row>
    <row r="54" spans="1:23" ht="86.4" x14ac:dyDescent="0.3">
      <c r="A54" s="31" t="str">
        <v>Инжиниринг постпроектный - консалтинг</v>
      </c>
      <c r="B54" s="6" t="str">
        <v>3.404.1</v>
      </c>
      <c r="C54" s="6">
        <v>1</v>
      </c>
      <c r="D54" s="31" t="str">
        <v>Консалтинговые услуги. Выездная приемка комплектующих на территории производител, модель Wate Tecnology L50/master</v>
      </c>
      <c r="E54" s="15" t="str">
        <v>8/2026-n3-горизонт-ver_1-set_3.404.1-true</v>
      </c>
      <c r="F54" s="85" t="str">
        <f t="shared" si="2"/>
        <v>8/2026-n3-горизонт-ver_1-set_3.404.1-true</v>
      </c>
      <c r="G54" s="116">
        <v>1</v>
      </c>
      <c r="H54" s="87">
        <f>TabSpecificationWork_2[[#This Row],[COEFFICIENT MARKUP]]*TabSpecificationWork_1[[#This Row],[PRICE UNIT $PURCHASE]]</f>
        <v>33300</v>
      </c>
      <c r="I54" s="87">
        <f>TabSpecificationWork_1[[#This Row],[QUANTITY TOTAL]]*TabSpecificationWork_2[[#This Row],[PRICE UNIT $SALE]]</f>
        <v>33300</v>
      </c>
      <c r="J54" s="88">
        <v>0</v>
      </c>
      <c r="K54" s="88">
        <f>(TabSpecificationWork_2[[#This Row],[COST DEAL $SALE]]/100)*TabSpecificationWork_2[[#This Row],[DISCOUNT PERCENT]]</f>
        <v>0</v>
      </c>
      <c r="L54" s="89"/>
      <c r="M54" s="90">
        <f>_xlfn.LET(
    _xlpm.projNum, _xlfn.XLOOKUP(TabSpecificationWork_2[[#This Row],[HASH COLLECTION]], TabSpecificationWork_1[HASH COLLECTION], TabSpecificationWork_1[NUM PROJECT], ""),
    _xlpm.company, UPPER(TRIM(_xlfn.TEXTAFTER(_xlpm.projNum, "-", 2))),
    IF(_xlpm.company="ГОРИЗОНТ", 0.22, 0)
)</f>
        <v>0.22</v>
      </c>
      <c r="N54" s="98">
        <f>TabSpecificationWork_2[[#This Row],[PRICE UNIT $SALE]]</f>
        <v>33300</v>
      </c>
      <c r="O54" s="98">
        <f>TabSpecificationWork_2[[#This Row],[PRICE UNIT $TOTAL]] * TabSpecificationWork_2[[#This Row],[VAT RATE CONTRACTOR $TOTAL]]</f>
        <v>7326</v>
      </c>
      <c r="P54" s="98">
        <f>TabSpecificationWork_2[[#This Row],[PRICE UNIT $TOTAL]] + TabSpecificationWork_2[[#This Row],[VAT ADD PRICE UNIT $TOTAL]]</f>
        <v>40626</v>
      </c>
      <c r="Q54" s="92">
        <f>TabSpecificationWork_2[[#This Row],[COST DEAL $SALE]]-TabSpecificationWork_2[[#This Row],[DISCOUNT MONEY]]</f>
        <v>33300</v>
      </c>
      <c r="R54" s="98">
        <f>TabSpecificationWork_2[[#This Row],[COST $TOTAL]] * TabSpecificationWork_2[[#This Row],[VAT RATE CONTRACTOR $TOTAL]]</f>
        <v>7326</v>
      </c>
      <c r="S54" s="92">
        <f>TabSpecificationWork_2[[#This Row],[COST $TOTAL]] + TabSpecificationWork_2[[#This Row],[COST ADD VAT $TOTAL]]</f>
        <v>40626</v>
      </c>
      <c r="T54" s="120">
        <v>7</v>
      </c>
      <c r="U54" s="95" t="s">
        <v>29</v>
      </c>
      <c r="V54" s="95" t="s">
        <v>35</v>
      </c>
      <c r="W54" s="96"/>
    </row>
    <row r="55" spans="1:23" ht="86.4" hidden="1" x14ac:dyDescent="0.3">
      <c r="A55" s="31" t="str">
        <v>Инжиниринг постпроектный - консалтинг</v>
      </c>
      <c r="B55" s="6" t="str">
        <v>3.504.1</v>
      </c>
      <c r="C55" s="6">
        <v>1</v>
      </c>
      <c r="D55" s="31" t="str">
        <v>Консалтинговые услуги. Выездная приемка комплектующих на территории производител, модель Wate Tecnology С80/master</v>
      </c>
      <c r="E55" s="15" t="str">
        <v>8/2026-n3-горизонт-ver_1-set_3.504.1-false</v>
      </c>
      <c r="F55" s="85" t="str">
        <f t="shared" si="2"/>
        <v>8/2026-n3-горизонт-ver_1-set_3.504.1-false</v>
      </c>
      <c r="G55" s="116">
        <v>1</v>
      </c>
      <c r="H55" s="87">
        <f>TabSpecificationWork_2[[#This Row],[COEFFICIENT MARKUP]]*TabSpecificationWork_1[[#This Row],[PRICE UNIT $PURCHASE]]</f>
        <v>33300</v>
      </c>
      <c r="I55" s="87">
        <f>TabSpecificationWork_1[[#This Row],[QUANTITY TOTAL]]*TabSpecificationWork_2[[#This Row],[PRICE UNIT $SALE]]</f>
        <v>33300</v>
      </c>
      <c r="J55" s="88">
        <v>0</v>
      </c>
      <c r="K55" s="88">
        <f>(TabSpecificationWork_2[[#This Row],[COST DEAL $SALE]]/100)*TabSpecificationWork_2[[#This Row],[DISCOUNT PERCENT]]</f>
        <v>0</v>
      </c>
      <c r="L55" s="89"/>
      <c r="M55" s="90">
        <f>_xlfn.LET(
    _xlpm.projNum, _xlfn.XLOOKUP(TabSpecificationWork_2[[#This Row],[HASH COLLECTION]], TabSpecificationWork_1[HASH COLLECTION], TabSpecificationWork_1[NUM PROJECT], ""),
    _xlpm.company, UPPER(TRIM(_xlfn.TEXTAFTER(_xlpm.projNum, "-", 2))),
    IF(_xlpm.company="ГОРИЗОНТ", 0.22, 0)
)</f>
        <v>0.22</v>
      </c>
      <c r="N55" s="98">
        <f>TabSpecificationWork_2[[#This Row],[PRICE UNIT $SALE]]</f>
        <v>33300</v>
      </c>
      <c r="O55" s="98">
        <f>TabSpecificationWork_2[[#This Row],[PRICE UNIT $TOTAL]] * TabSpecificationWork_2[[#This Row],[VAT RATE CONTRACTOR $TOTAL]]</f>
        <v>7326</v>
      </c>
      <c r="P55" s="98">
        <f>TabSpecificationWork_2[[#This Row],[PRICE UNIT $TOTAL]] + TabSpecificationWork_2[[#This Row],[VAT ADD PRICE UNIT $TOTAL]]</f>
        <v>40626</v>
      </c>
      <c r="Q55" s="92">
        <f>TabSpecificationWork_2[[#This Row],[COST DEAL $SALE]]-TabSpecificationWork_2[[#This Row],[DISCOUNT MONEY]]</f>
        <v>33300</v>
      </c>
      <c r="R55" s="98">
        <f>TabSpecificationWork_2[[#This Row],[COST $TOTAL]] * TabSpecificationWork_2[[#This Row],[VAT RATE CONTRACTOR $TOTAL]]</f>
        <v>7326</v>
      </c>
      <c r="S55" s="92">
        <f>TabSpecificationWork_2[[#This Row],[COST $TOTAL]] + TabSpecificationWork_2[[#This Row],[COST ADD VAT $TOTAL]]</f>
        <v>40626</v>
      </c>
      <c r="T55" s="120">
        <v>7</v>
      </c>
      <c r="U55" s="95" t="s">
        <v>35</v>
      </c>
      <c r="V55" s="95" t="s">
        <v>35</v>
      </c>
      <c r="W55" s="96"/>
    </row>
    <row r="56" spans="1:23" ht="86.4" x14ac:dyDescent="0.3">
      <c r="A56" s="31" t="str">
        <v>Инжиниринг постпроектный - консалтинг</v>
      </c>
      <c r="B56" s="6" t="str">
        <v>3.604.1</v>
      </c>
      <c r="C56" s="6">
        <v>1</v>
      </c>
      <c r="D56" s="31" t="str">
        <v>Консалтинговые услуги. Выездная приемка комплектующих на территории производител, модель Wate Tecnology С80P/master</v>
      </c>
      <c r="E56" s="15" t="str">
        <v>8/2026-n3-горизонт-ver_1-set_3.604.1-true</v>
      </c>
      <c r="F56" s="85" t="str">
        <f t="shared" si="2"/>
        <v>8/2026-n3-горизонт-ver_1-set_3.604.1-true</v>
      </c>
      <c r="G56" s="116">
        <v>1</v>
      </c>
      <c r="H56" s="87">
        <f>TabSpecificationWork_2[[#This Row],[COEFFICIENT MARKUP]]*TabSpecificationWork_1[[#This Row],[PRICE UNIT $PURCHASE]]</f>
        <v>33300</v>
      </c>
      <c r="I56" s="87">
        <f>TabSpecificationWork_1[[#This Row],[QUANTITY TOTAL]]*TabSpecificationWork_2[[#This Row],[PRICE UNIT $SALE]]</f>
        <v>33300</v>
      </c>
      <c r="J56" s="88">
        <v>0</v>
      </c>
      <c r="K56" s="88">
        <f>(TabSpecificationWork_2[[#This Row],[COST DEAL $SALE]]/100)*TabSpecificationWork_2[[#This Row],[DISCOUNT PERCENT]]</f>
        <v>0</v>
      </c>
      <c r="L56" s="89"/>
      <c r="M56" s="90">
        <f>_xlfn.LET(
    _xlpm.projNum, _xlfn.XLOOKUP(TabSpecificationWork_2[[#This Row],[HASH COLLECTION]], TabSpecificationWork_1[HASH COLLECTION], TabSpecificationWork_1[NUM PROJECT], ""),
    _xlpm.company, UPPER(TRIM(_xlfn.TEXTAFTER(_xlpm.projNum, "-", 2))),
    IF(_xlpm.company="ГОРИЗОНТ", 0.22, 0)
)</f>
        <v>0.22</v>
      </c>
      <c r="N56" s="98">
        <f>TabSpecificationWork_2[[#This Row],[PRICE UNIT $SALE]]</f>
        <v>33300</v>
      </c>
      <c r="O56" s="98">
        <f>TabSpecificationWork_2[[#This Row],[PRICE UNIT $TOTAL]] * TabSpecificationWork_2[[#This Row],[VAT RATE CONTRACTOR $TOTAL]]</f>
        <v>7326</v>
      </c>
      <c r="P56" s="98">
        <f>TabSpecificationWork_2[[#This Row],[PRICE UNIT $TOTAL]] + TabSpecificationWork_2[[#This Row],[VAT ADD PRICE UNIT $TOTAL]]</f>
        <v>40626</v>
      </c>
      <c r="Q56" s="92">
        <f>TabSpecificationWork_2[[#This Row],[COST DEAL $SALE]]-TabSpecificationWork_2[[#This Row],[DISCOUNT MONEY]]</f>
        <v>33300</v>
      </c>
      <c r="R56" s="98">
        <f>TabSpecificationWork_2[[#This Row],[COST $TOTAL]] * TabSpecificationWork_2[[#This Row],[VAT RATE CONTRACTOR $TOTAL]]</f>
        <v>7326</v>
      </c>
      <c r="S56" s="92">
        <f>TabSpecificationWork_2[[#This Row],[COST $TOTAL]] + TabSpecificationWork_2[[#This Row],[COST ADD VAT $TOTAL]]</f>
        <v>40626</v>
      </c>
      <c r="T56" s="120">
        <v>7</v>
      </c>
      <c r="U56" s="95" t="s">
        <v>29</v>
      </c>
      <c r="V56" s="95" t="s">
        <v>35</v>
      </c>
      <c r="W56" s="96"/>
    </row>
    <row r="57" spans="1:23" ht="86.4" hidden="1" x14ac:dyDescent="0.3">
      <c r="A57" s="31" t="str">
        <v>Инжиниринг постпроектный - консалтинг</v>
      </c>
      <c r="B57" s="6" t="str">
        <v>3.704.1</v>
      </c>
      <c r="C57" s="6">
        <v>1</v>
      </c>
      <c r="D57" s="31" t="str">
        <v>Консалтинговые услуги. Выездная приемка комплектующих на территории производител, модель Wate Tecnology С80/slave</v>
      </c>
      <c r="E57" s="15" t="str">
        <v>8/2026-n3-горизонт-ver_1-set_3.704.1-false</v>
      </c>
      <c r="F57" s="85" t="str">
        <f t="shared" si="2"/>
        <v>8/2026-n3-горизонт-ver_1-set_3.704.1-false</v>
      </c>
      <c r="G57" s="116">
        <v>1</v>
      </c>
      <c r="H57" s="87">
        <f>TabSpecificationWork_2[[#This Row],[COEFFICIENT MARKUP]]*TabSpecificationWork_1[[#This Row],[PRICE UNIT $PURCHASE]]</f>
        <v>33300</v>
      </c>
      <c r="I57" s="87">
        <f>TabSpecificationWork_1[[#This Row],[QUANTITY TOTAL]]*TabSpecificationWork_2[[#This Row],[PRICE UNIT $SALE]]</f>
        <v>33300</v>
      </c>
      <c r="J57" s="88">
        <v>0</v>
      </c>
      <c r="K57" s="88">
        <f>(TabSpecificationWork_2[[#This Row],[COST DEAL $SALE]]/100)*TabSpecificationWork_2[[#This Row],[DISCOUNT PERCENT]]</f>
        <v>0</v>
      </c>
      <c r="L57" s="89"/>
      <c r="M57" s="90">
        <f>_xlfn.LET(
    _xlpm.projNum, _xlfn.XLOOKUP(TabSpecificationWork_2[[#This Row],[HASH COLLECTION]], TabSpecificationWork_1[HASH COLLECTION], TabSpecificationWork_1[NUM PROJECT], ""),
    _xlpm.company, UPPER(TRIM(_xlfn.TEXTAFTER(_xlpm.projNum, "-", 2))),
    IF(_xlpm.company="ГОРИЗОНТ", 0.22, 0)
)</f>
        <v>0.22</v>
      </c>
      <c r="N57" s="98">
        <f>TabSpecificationWork_2[[#This Row],[PRICE UNIT $SALE]]</f>
        <v>33300</v>
      </c>
      <c r="O57" s="98">
        <f>TabSpecificationWork_2[[#This Row],[PRICE UNIT $TOTAL]] * TabSpecificationWork_2[[#This Row],[VAT RATE CONTRACTOR $TOTAL]]</f>
        <v>7326</v>
      </c>
      <c r="P57" s="98">
        <f>TabSpecificationWork_2[[#This Row],[PRICE UNIT $TOTAL]] + TabSpecificationWork_2[[#This Row],[VAT ADD PRICE UNIT $TOTAL]]</f>
        <v>40626</v>
      </c>
      <c r="Q57" s="92">
        <f>TabSpecificationWork_2[[#This Row],[COST DEAL $SALE]]-TabSpecificationWork_2[[#This Row],[DISCOUNT MONEY]]</f>
        <v>33300</v>
      </c>
      <c r="R57" s="98">
        <f>TabSpecificationWork_2[[#This Row],[COST $TOTAL]] * TabSpecificationWork_2[[#This Row],[VAT RATE CONTRACTOR $TOTAL]]</f>
        <v>7326</v>
      </c>
      <c r="S57" s="92">
        <f>TabSpecificationWork_2[[#This Row],[COST $TOTAL]] + TabSpecificationWork_2[[#This Row],[COST ADD VAT $TOTAL]]</f>
        <v>40626</v>
      </c>
      <c r="T57" s="120">
        <v>7</v>
      </c>
      <c r="U57" s="95" t="s">
        <v>35</v>
      </c>
      <c r="V57" s="95" t="s">
        <v>35</v>
      </c>
      <c r="W57" s="96"/>
    </row>
    <row r="58" spans="1:23" ht="43.2" hidden="1" x14ac:dyDescent="0.3">
      <c r="A58" s="31" t="str">
        <v>Инжиниринг проектный - КР</v>
      </c>
      <c r="B58" s="6" t="str">
        <v>1.101.7</v>
      </c>
      <c r="C58" s="6">
        <v>2</v>
      </c>
      <c r="D58" s="31" t="str">
        <v>Проектирование кронштейна для камер видеонаблюдения</v>
      </c>
      <c r="E58" s="15" t="str">
        <v>8/2026-n1-горизонт-ver_2-set_1.101.7-true</v>
      </c>
      <c r="F58" s="85" t="str">
        <f t="shared" si="2"/>
        <v>8/2026-n1-горизонт-ver_2-set_1.101.7-true</v>
      </c>
      <c r="G58" s="117">
        <v>3</v>
      </c>
      <c r="H58" s="87">
        <f>TabSpecificationWork_2[[#This Row],[COEFFICIENT MARKUP]]*TabSpecificationWork_1[[#This Row],[PRICE UNIT $PURCHASE]]</f>
        <v>75000</v>
      </c>
      <c r="I58" s="87">
        <f>TabSpecificationWork_1[[#This Row],[QUANTITY TOTAL]]*TabSpecificationWork_2[[#This Row],[PRICE UNIT $SALE]]</f>
        <v>75000</v>
      </c>
      <c r="J58" s="88">
        <v>0</v>
      </c>
      <c r="K58" s="88">
        <f>(TabSpecificationWork_2[[#This Row],[COST DEAL $SALE]]/100)*TabSpecificationWork_2[[#This Row],[DISCOUNT PERCENT]]</f>
        <v>0</v>
      </c>
      <c r="L58" s="89"/>
      <c r="M58" s="90">
        <f>_xlfn.LET(
    _xlpm.projNum, _xlfn.XLOOKUP(TabSpecificationWork_2[[#This Row],[HASH COLLECTION]], TabSpecificationWork_1[HASH COLLECTION], TabSpecificationWork_1[NUM PROJECT], ""),
    _xlpm.company, UPPER(TRIM(_xlfn.TEXTAFTER(_xlpm.projNum, "-", 2))),
    IF(_xlpm.company="ГОРИЗОНТ", 0.22, 0)
)</f>
        <v>0.22</v>
      </c>
      <c r="N58" s="98">
        <f>TabSpecificationWork_2[[#This Row],[PRICE UNIT $SALE]]</f>
        <v>75000</v>
      </c>
      <c r="O58" s="98">
        <f>TabSpecificationWork_2[[#This Row],[PRICE UNIT $TOTAL]] * TabSpecificationWork_2[[#This Row],[VAT RATE CONTRACTOR $TOTAL]]</f>
        <v>16500</v>
      </c>
      <c r="P58" s="98">
        <f>TabSpecificationWork_2[[#This Row],[PRICE UNIT $TOTAL]] + TabSpecificationWork_2[[#This Row],[VAT ADD PRICE UNIT $TOTAL]]</f>
        <v>91500</v>
      </c>
      <c r="Q58" s="92">
        <f>TabSpecificationWork_2[[#This Row],[COST DEAL $SALE]]-TabSpecificationWork_2[[#This Row],[DISCOUNT MONEY]]</f>
        <v>75000</v>
      </c>
      <c r="R58" s="98">
        <f>TabSpecificationWork_2[[#This Row],[COST $TOTAL]] * TabSpecificationWork_2[[#This Row],[VAT RATE CONTRACTOR $TOTAL]]</f>
        <v>16500</v>
      </c>
      <c r="S58" s="118">
        <f>TabSpecificationWork_2[[#This Row],[COST $TOTAL]] + TabSpecificationWork_2[[#This Row],[COST ADD VAT $TOTAL]]</f>
        <v>91500</v>
      </c>
      <c r="T58" s="94">
        <v>12</v>
      </c>
      <c r="U58" s="95" t="s">
        <v>29</v>
      </c>
      <c r="V58" s="95" t="s">
        <v>35</v>
      </c>
      <c r="W58" s="96" t="s">
        <v>669</v>
      </c>
    </row>
    <row r="59" spans="1:23" ht="86.4" x14ac:dyDescent="0.3">
      <c r="A59" s="31" t="str">
        <v>Инжиниринг проектный - КД</v>
      </c>
      <c r="B59" s="6" t="str">
        <v>3.501.1</v>
      </c>
      <c r="C59" s="6">
        <v>2</v>
      </c>
      <c r="D59" s="31" t="str">
        <v>Инженерный анализ существующей конструкции изделия.
Постаматный вендинговый аппарат, модель Wate Tecnology G24P/master</v>
      </c>
      <c r="E59" s="15" t="str">
        <v>8/2026-n3-горизонт-ver_2-set_3.501.1-true</v>
      </c>
      <c r="F59" s="85" t="str">
        <f t="shared" si="2"/>
        <v>8/2026-n3-горизонт-ver_2-set_3.501.1-true</v>
      </c>
      <c r="G59">
        <v>2.5</v>
      </c>
      <c r="H59" s="87">
        <f>TabSpecificationWork_2[[#This Row],[COEFFICIENT MARKUP]]*TabSpecificationWork_1[[#This Row],[PRICE UNIT $PURCHASE]]</f>
        <v>250000</v>
      </c>
      <c r="I59" s="87">
        <f>TabSpecificationWork_1[[#This Row],[QUANTITY TOTAL]]*TabSpecificationWork_2[[#This Row],[PRICE UNIT $SALE]]</f>
        <v>250000</v>
      </c>
      <c r="J59" s="88">
        <v>0</v>
      </c>
      <c r="K59" s="88">
        <f>(TabSpecificationWork_2[[#This Row],[COST DEAL $SALE]]/100)*TabSpecificationWork_2[[#This Row],[DISCOUNT PERCENT]]</f>
        <v>0</v>
      </c>
      <c r="L59" s="89"/>
      <c r="M59" s="90">
        <f>_xlfn.LET(
    _xlpm.projNum, _xlfn.XLOOKUP(TabSpecificationWork_2[[#This Row],[HASH COLLECTION]], TabSpecificationWork_1[HASH COLLECTION], TabSpecificationWork_1[NUM PROJECT], ""),
    _xlpm.company, UPPER(TRIM(_xlfn.TEXTAFTER(_xlpm.projNum, "-", 2))),
    IF(_xlpm.company="ГОРИЗОНТ", 0.22, 0)
)</f>
        <v>0.22</v>
      </c>
      <c r="N59" s="98">
        <f>TabSpecificationWork_2[[#This Row],[PRICE UNIT $SALE]]</f>
        <v>250000</v>
      </c>
      <c r="O59" s="98">
        <f>TabSpecificationWork_2[[#This Row],[PRICE UNIT $TOTAL]] * TabSpecificationWork_2[[#This Row],[VAT RATE CONTRACTOR $TOTAL]]</f>
        <v>55000</v>
      </c>
      <c r="P59" s="98">
        <f>TabSpecificationWork_2[[#This Row],[PRICE UNIT $TOTAL]] + TabSpecificationWork_2[[#This Row],[VAT ADD PRICE UNIT $TOTAL]]</f>
        <v>305000</v>
      </c>
      <c r="Q59" s="92">
        <f>TabSpecificationWork_2[[#This Row],[COST DEAL $SALE]]-TabSpecificationWork_2[[#This Row],[DISCOUNT MONEY]]</f>
        <v>250000</v>
      </c>
      <c r="R59" s="98">
        <f>TabSpecificationWork_2[[#This Row],[COST $TOTAL]] * TabSpecificationWork_2[[#This Row],[VAT RATE CONTRACTOR $TOTAL]]</f>
        <v>55000</v>
      </c>
      <c r="S59" s="92">
        <f>TabSpecificationWork_2[[#This Row],[COST $TOTAL]] + TabSpecificationWork_2[[#This Row],[COST ADD VAT $TOTAL]]</f>
        <v>305000</v>
      </c>
      <c r="T59" s="120">
        <v>14</v>
      </c>
      <c r="U59" s="95" t="s">
        <v>29</v>
      </c>
      <c r="V59" s="95" t="s">
        <v>35</v>
      </c>
      <c r="W59" s="96"/>
    </row>
    <row r="60" spans="1:23" ht="72" x14ac:dyDescent="0.3">
      <c r="A60" s="31" t="str">
        <v>Инжиниринг предпроектный - КД</v>
      </c>
      <c r="B60" s="6" t="str">
        <v>3.501.2</v>
      </c>
      <c r="C60" s="6">
        <v>2</v>
      </c>
      <c r="D60" s="31" t="str">
        <v>Разработка ТЗ №1 на изделие в целом.
Постаматный вендинговый аппарат, модель Wate Tecnology G24P/master</v>
      </c>
      <c r="E60" s="15" t="str">
        <v>8/2026-n3-горизонт-ver_2-set_3.501.2-true</v>
      </c>
      <c r="F60" s="85" t="str">
        <f t="shared" si="2"/>
        <v>8/2026-n3-горизонт-ver_2-set_3.501.2-true</v>
      </c>
      <c r="G60">
        <v>1.5</v>
      </c>
      <c r="H60" s="87">
        <f>TabSpecificationWork_2[[#This Row],[COEFFICIENT MARKUP]]*TabSpecificationWork_1[[#This Row],[PRICE UNIT $PURCHASE]]</f>
        <v>30000</v>
      </c>
      <c r="I60" s="87">
        <f>TabSpecificationWork_1[[#This Row],[QUANTITY TOTAL]]*TabSpecificationWork_2[[#This Row],[PRICE UNIT $SALE]]</f>
        <v>30000</v>
      </c>
      <c r="J60" s="88">
        <v>0</v>
      </c>
      <c r="K60" s="88">
        <f>(TabSpecificationWork_2[[#This Row],[COST DEAL $SALE]]/100)*TabSpecificationWork_2[[#This Row],[DISCOUNT PERCENT]]</f>
        <v>0</v>
      </c>
      <c r="L60" s="89"/>
      <c r="M60" s="90">
        <f>_xlfn.LET(
    _xlpm.projNum, _xlfn.XLOOKUP(TabSpecificationWork_2[[#This Row],[HASH COLLECTION]], TabSpecificationWork_1[HASH COLLECTION], TabSpecificationWork_1[NUM PROJECT], ""),
    _xlpm.company, UPPER(TRIM(_xlfn.TEXTAFTER(_xlpm.projNum, "-", 2))),
    IF(_xlpm.company="ГОРИЗОНТ", 0.22, 0)
)</f>
        <v>0.22</v>
      </c>
      <c r="N60" s="98">
        <f>TabSpecificationWork_2[[#This Row],[PRICE UNIT $SALE]]</f>
        <v>30000</v>
      </c>
      <c r="O60" s="98">
        <f>TabSpecificationWork_2[[#This Row],[PRICE UNIT $TOTAL]] * TabSpecificationWork_2[[#This Row],[VAT RATE CONTRACTOR $TOTAL]]</f>
        <v>6600</v>
      </c>
      <c r="P60" s="98">
        <f>TabSpecificationWork_2[[#This Row],[PRICE UNIT $TOTAL]] + TabSpecificationWork_2[[#This Row],[VAT ADD PRICE UNIT $TOTAL]]</f>
        <v>36600</v>
      </c>
      <c r="Q60" s="92">
        <f>TabSpecificationWork_2[[#This Row],[COST DEAL $SALE]]-TabSpecificationWork_2[[#This Row],[DISCOUNT MONEY]]</f>
        <v>30000</v>
      </c>
      <c r="R60" s="98">
        <f>TabSpecificationWork_2[[#This Row],[COST $TOTAL]] * TabSpecificationWork_2[[#This Row],[VAT RATE CONTRACTOR $TOTAL]]</f>
        <v>6600</v>
      </c>
      <c r="S60" s="92">
        <f>TabSpecificationWork_2[[#This Row],[COST $TOTAL]] + TabSpecificationWork_2[[#This Row],[COST ADD VAT $TOTAL]]</f>
        <v>36600</v>
      </c>
      <c r="T60" s="120">
        <v>7</v>
      </c>
      <c r="U60" s="95" t="s">
        <v>29</v>
      </c>
      <c r="V60" s="95" t="s">
        <v>35</v>
      </c>
      <c r="W60" s="96"/>
    </row>
    <row r="61" spans="1:23" ht="86.4" x14ac:dyDescent="0.3">
      <c r="A61" s="31" t="str">
        <v>Инжиниринг проектный - КД</v>
      </c>
      <c r="B61" s="6" t="str">
        <v>3.501.3</v>
      </c>
      <c r="C61" s="6">
        <v>2</v>
      </c>
      <c r="D61" s="31" t="str">
        <v>Разработка ТЗ №2 на адаптацию ПТК к данной модели.
Постаматный вендинговый аппарат, модель Wate Tecnology G24P/master</v>
      </c>
      <c r="E61" s="15" t="str">
        <v>8/2026-n3-горизонт-ver_2-set_3.501.3-true</v>
      </c>
      <c r="F61" s="85" t="str">
        <f t="shared" si="2"/>
        <v>8/2026-n3-горизонт-ver_2-set_3.501.3-true</v>
      </c>
      <c r="G61">
        <v>1.5</v>
      </c>
      <c r="H61" s="87">
        <f>TabSpecificationWork_2[[#This Row],[COEFFICIENT MARKUP]]*TabSpecificationWork_1[[#This Row],[PRICE UNIT $PURCHASE]]</f>
        <v>30000</v>
      </c>
      <c r="I61" s="87">
        <f>TabSpecificationWork_1[[#This Row],[QUANTITY TOTAL]]*TabSpecificationWork_2[[#This Row],[PRICE UNIT $SALE]]</f>
        <v>30000</v>
      </c>
      <c r="J61" s="88">
        <v>0</v>
      </c>
      <c r="K61" s="88">
        <f>(TabSpecificationWork_2[[#This Row],[COST DEAL $SALE]]/100)*TabSpecificationWork_2[[#This Row],[DISCOUNT PERCENT]]</f>
        <v>0</v>
      </c>
      <c r="L61" s="89"/>
      <c r="M61" s="90">
        <f>_xlfn.LET(
    _xlpm.projNum, _xlfn.XLOOKUP(TabSpecificationWork_2[[#This Row],[HASH COLLECTION]], TabSpecificationWork_1[HASH COLLECTION], TabSpecificationWork_1[NUM PROJECT], ""),
    _xlpm.company, UPPER(TRIM(_xlfn.TEXTAFTER(_xlpm.projNum, "-", 2))),
    IF(_xlpm.company="ГОРИЗОНТ", 0.22, 0)
)</f>
        <v>0.22</v>
      </c>
      <c r="N61" s="98">
        <f>TabSpecificationWork_2[[#This Row],[PRICE UNIT $SALE]]</f>
        <v>30000</v>
      </c>
      <c r="O61" s="98">
        <f>TabSpecificationWork_2[[#This Row],[PRICE UNIT $TOTAL]] * TabSpecificationWork_2[[#This Row],[VAT RATE CONTRACTOR $TOTAL]]</f>
        <v>6600</v>
      </c>
      <c r="P61" s="98">
        <f>TabSpecificationWork_2[[#This Row],[PRICE UNIT $TOTAL]] + TabSpecificationWork_2[[#This Row],[VAT ADD PRICE UNIT $TOTAL]]</f>
        <v>36600</v>
      </c>
      <c r="Q61" s="92">
        <f>TabSpecificationWork_2[[#This Row],[COST DEAL $SALE]]-TabSpecificationWork_2[[#This Row],[DISCOUNT MONEY]]</f>
        <v>30000</v>
      </c>
      <c r="R61" s="98">
        <f>TabSpecificationWork_2[[#This Row],[COST $TOTAL]] * TabSpecificationWork_2[[#This Row],[VAT RATE CONTRACTOR $TOTAL]]</f>
        <v>6600</v>
      </c>
      <c r="S61" s="92">
        <f>TabSpecificationWork_2[[#This Row],[COST $TOTAL]] + TabSpecificationWork_2[[#This Row],[COST ADD VAT $TOTAL]]</f>
        <v>36600</v>
      </c>
      <c r="T61" s="120">
        <v>7</v>
      </c>
      <c r="U61" s="95" t="s">
        <v>29</v>
      </c>
      <c r="V61" s="95" t="s">
        <v>35</v>
      </c>
      <c r="W61" s="96"/>
    </row>
    <row r="62" spans="1:23" ht="100.8" x14ac:dyDescent="0.3">
      <c r="A62" s="31" t="str">
        <v>Инжиниринг проектный - АСУ</v>
      </c>
      <c r="B62" s="6" t="str">
        <v>3.502.1</v>
      </c>
      <c r="C62" s="6">
        <v>2</v>
      </c>
      <c r="D62" s="31" t="str">
        <v>Адаптация, комплектование и сборка ПТК в соответствии с ТЗ №2.
Постаматный вендинговый аппарат, модель Wate Tecnology G24P/master</v>
      </c>
      <c r="E62" s="15" t="str">
        <v>8/2026-n3-горизонт-ver_2-set_3.502.1-true</v>
      </c>
      <c r="F62" s="85" t="str">
        <f t="shared" si="2"/>
        <v>8/2026-n3-горизонт-ver_2-set_3.502.1-true</v>
      </c>
      <c r="G62">
        <v>3.6</v>
      </c>
      <c r="H62" s="87">
        <f>TabSpecificationWork_2[[#This Row],[COEFFICIENT MARKUP]]*TabSpecificationWork_1[[#This Row],[PRICE UNIT $PURCHASE]]</f>
        <v>2880000</v>
      </c>
      <c r="I62" s="87">
        <f>TabSpecificationWork_1[[#This Row],[QUANTITY TOTAL]]*TabSpecificationWork_2[[#This Row],[PRICE UNIT $SALE]]</f>
        <v>2880000</v>
      </c>
      <c r="J62" s="88">
        <v>0</v>
      </c>
      <c r="K62" s="88">
        <f>(TabSpecificationWork_2[[#This Row],[COST DEAL $SALE]]/100)*TabSpecificationWork_2[[#This Row],[DISCOUNT PERCENT]]</f>
        <v>0</v>
      </c>
      <c r="L62" s="89"/>
      <c r="M62" s="90">
        <f>_xlfn.LET(
    _xlpm.projNum, _xlfn.XLOOKUP(TabSpecificationWork_2[[#This Row],[HASH COLLECTION]], TabSpecificationWork_1[HASH COLLECTION], TabSpecificationWork_1[NUM PROJECT], ""),
    _xlpm.company, UPPER(TRIM(_xlfn.TEXTAFTER(_xlpm.projNum, "-", 2))),
    IF(_xlpm.company="ГОРИЗОНТ", 0.22, 0)
)</f>
        <v>0.22</v>
      </c>
      <c r="N62" s="98">
        <f>TabSpecificationWork_2[[#This Row],[PRICE UNIT $SALE]]</f>
        <v>2880000</v>
      </c>
      <c r="O62" s="98">
        <f>TabSpecificationWork_2[[#This Row],[PRICE UNIT $TOTAL]] * TabSpecificationWork_2[[#This Row],[VAT RATE CONTRACTOR $TOTAL]]</f>
        <v>633600</v>
      </c>
      <c r="P62" s="98">
        <f>TabSpecificationWork_2[[#This Row],[PRICE UNIT $TOTAL]] + TabSpecificationWork_2[[#This Row],[VAT ADD PRICE UNIT $TOTAL]]</f>
        <v>3513600</v>
      </c>
      <c r="Q62" s="92">
        <f>TabSpecificationWork_2[[#This Row],[COST DEAL $SALE]]-TabSpecificationWork_2[[#This Row],[DISCOUNT MONEY]]</f>
        <v>2880000</v>
      </c>
      <c r="R62" s="98">
        <f>TabSpecificationWork_2[[#This Row],[COST $TOTAL]] * TabSpecificationWork_2[[#This Row],[VAT RATE CONTRACTOR $TOTAL]]</f>
        <v>633600</v>
      </c>
      <c r="S62" s="92">
        <f>TabSpecificationWork_2[[#This Row],[COST $TOTAL]] + TabSpecificationWork_2[[#This Row],[COST ADD VAT $TOTAL]]</f>
        <v>3513600</v>
      </c>
      <c r="T62" s="120">
        <v>108</v>
      </c>
      <c r="U62" s="95" t="s">
        <v>29</v>
      </c>
      <c r="V62" s="95" t="s">
        <v>35</v>
      </c>
      <c r="W62" s="96"/>
    </row>
    <row r="63" spans="1:23" ht="100.8" x14ac:dyDescent="0.3">
      <c r="A63" s="31" t="str">
        <v>Инжиниринг постпроектный - КД</v>
      </c>
      <c r="B63" s="6" t="str">
        <v>3.503.1</v>
      </c>
      <c r="C63" s="6">
        <v>2</v>
      </c>
      <c r="D63" s="31" t="str">
        <v>Комплексное тестирование аппарата на базе новой системы управления.
Постаматный вендинговый аппарат, модель Wate Tecnology G24P/master</v>
      </c>
      <c r="E63" s="15" t="str">
        <v>8/2026-n3-горизонт-ver_2-set_3.503.1-true</v>
      </c>
      <c r="F63" s="85" t="str">
        <f t="shared" si="2"/>
        <v>8/2026-n3-горизонт-ver_2-set_3.503.1-true</v>
      </c>
      <c r="G63">
        <v>1.17</v>
      </c>
      <c r="H63" s="87">
        <f>TabSpecificationWork_2[[#This Row],[COEFFICIENT MARKUP]]*TabSpecificationWork_1[[#This Row],[PRICE UNIT $PURCHASE]]</f>
        <v>351000</v>
      </c>
      <c r="I63" s="87">
        <f>TabSpecificationWork_1[[#This Row],[QUANTITY TOTAL]]*TabSpecificationWork_2[[#This Row],[PRICE UNIT $SALE]]</f>
        <v>351000</v>
      </c>
      <c r="J63" s="88">
        <v>0</v>
      </c>
      <c r="K63" s="88">
        <f>(TabSpecificationWork_2[[#This Row],[COST DEAL $SALE]]/100)*TabSpecificationWork_2[[#This Row],[DISCOUNT PERCENT]]</f>
        <v>0</v>
      </c>
      <c r="L63" s="89"/>
      <c r="M63" s="90">
        <f>_xlfn.LET(
    _xlpm.projNum, _xlfn.XLOOKUP(TabSpecificationWork_2[[#This Row],[HASH COLLECTION]], TabSpecificationWork_1[HASH COLLECTION], TabSpecificationWork_1[NUM PROJECT], ""),
    _xlpm.company, UPPER(TRIM(_xlfn.TEXTAFTER(_xlpm.projNum, "-", 2))),
    IF(_xlpm.company="ГОРИЗОНТ", 0.22, 0)
)</f>
        <v>0.22</v>
      </c>
      <c r="N63" s="98">
        <f>TabSpecificationWork_2[[#This Row],[PRICE UNIT $SALE]]</f>
        <v>351000</v>
      </c>
      <c r="O63" s="98">
        <f>TabSpecificationWork_2[[#This Row],[PRICE UNIT $TOTAL]] * TabSpecificationWork_2[[#This Row],[VAT RATE CONTRACTOR $TOTAL]]</f>
        <v>77220</v>
      </c>
      <c r="P63" s="98">
        <f>TabSpecificationWork_2[[#This Row],[PRICE UNIT $TOTAL]] + TabSpecificationWork_2[[#This Row],[VAT ADD PRICE UNIT $TOTAL]]</f>
        <v>428220</v>
      </c>
      <c r="Q63" s="92">
        <f>TabSpecificationWork_2[[#This Row],[COST DEAL $SALE]]-TabSpecificationWork_2[[#This Row],[DISCOUNT MONEY]]</f>
        <v>351000</v>
      </c>
      <c r="R63" s="98">
        <f>TabSpecificationWork_2[[#This Row],[COST $TOTAL]] * TabSpecificationWork_2[[#This Row],[VAT RATE CONTRACTOR $TOTAL]]</f>
        <v>77220</v>
      </c>
      <c r="S63" s="92">
        <f>TabSpecificationWork_2[[#This Row],[COST $TOTAL]] + TabSpecificationWork_2[[#This Row],[COST ADD VAT $TOTAL]]</f>
        <v>428220</v>
      </c>
      <c r="T63" s="120">
        <v>14</v>
      </c>
      <c r="U63" s="95" t="s">
        <v>29</v>
      </c>
      <c r="V63" s="95" t="s">
        <v>35</v>
      </c>
      <c r="W63" s="96" t="s">
        <v>660</v>
      </c>
    </row>
    <row r="64" spans="1:23" ht="86.4" x14ac:dyDescent="0.3">
      <c r="A64" s="31" t="str">
        <v>Инжиниринг проектный - КД</v>
      </c>
      <c r="B64" s="6" t="str">
        <v>3.701.1</v>
      </c>
      <c r="C64" s="6">
        <v>2</v>
      </c>
      <c r="D64" s="31" t="str">
        <v>Инженерный анализ существующей конструкции изделия.
Постаматный вендинговый аппарат, модель Wate Tecnology С100/slave</v>
      </c>
      <c r="E64" s="15" t="str">
        <v>8/2026-n3-горизонт-ver_2-set_3.701.1-true</v>
      </c>
      <c r="F64" s="85" t="str">
        <f t="shared" si="2"/>
        <v>8/2026-n3-горизонт-ver_2-set_3.701.1-true</v>
      </c>
      <c r="G64">
        <v>1.5</v>
      </c>
      <c r="H64" s="87">
        <f>TabSpecificationWork_2[[#This Row],[COEFFICIENT MARKUP]]*TabSpecificationWork_1[[#This Row],[PRICE UNIT $PURCHASE]]</f>
        <v>150000</v>
      </c>
      <c r="I64" s="87">
        <f>TabSpecificationWork_1[[#This Row],[QUANTITY TOTAL]]*TabSpecificationWork_2[[#This Row],[PRICE UNIT $SALE]]</f>
        <v>150000</v>
      </c>
      <c r="J64" s="88">
        <v>0</v>
      </c>
      <c r="K64" s="88">
        <f>(TabSpecificationWork_2[[#This Row],[COST DEAL $SALE]]/100)*TabSpecificationWork_2[[#This Row],[DISCOUNT PERCENT]]</f>
        <v>0</v>
      </c>
      <c r="L64" s="89"/>
      <c r="M64" s="90">
        <f>_xlfn.LET(
    _xlpm.projNum, _xlfn.XLOOKUP(TabSpecificationWork_2[[#This Row],[HASH COLLECTION]], TabSpecificationWork_1[HASH COLLECTION], TabSpecificationWork_1[NUM PROJECT], ""),
    _xlpm.company, UPPER(TRIM(_xlfn.TEXTAFTER(_xlpm.projNum, "-", 2))),
    IF(_xlpm.company="ГОРИЗОНТ", 0.22, 0)
)</f>
        <v>0.22</v>
      </c>
      <c r="N64" s="98">
        <f>TabSpecificationWork_2[[#This Row],[PRICE UNIT $SALE]]</f>
        <v>150000</v>
      </c>
      <c r="O64" s="98">
        <f>TabSpecificationWork_2[[#This Row],[PRICE UNIT $TOTAL]] * TabSpecificationWork_2[[#This Row],[VAT RATE CONTRACTOR $TOTAL]]</f>
        <v>33000</v>
      </c>
      <c r="P64" s="98">
        <f>TabSpecificationWork_2[[#This Row],[PRICE UNIT $TOTAL]] + TabSpecificationWork_2[[#This Row],[VAT ADD PRICE UNIT $TOTAL]]</f>
        <v>183000</v>
      </c>
      <c r="Q64" s="92">
        <f>TabSpecificationWork_2[[#This Row],[COST DEAL $SALE]]-TabSpecificationWork_2[[#This Row],[DISCOUNT MONEY]]</f>
        <v>150000</v>
      </c>
      <c r="R64" s="98">
        <f>TabSpecificationWork_2[[#This Row],[COST $TOTAL]] * TabSpecificationWork_2[[#This Row],[VAT RATE CONTRACTOR $TOTAL]]</f>
        <v>33000</v>
      </c>
      <c r="S64" s="92">
        <f>TabSpecificationWork_2[[#This Row],[COST $TOTAL]] + TabSpecificationWork_2[[#This Row],[COST ADD VAT $TOTAL]]</f>
        <v>183000</v>
      </c>
      <c r="T64" s="120">
        <v>14</v>
      </c>
      <c r="U64" s="95" t="s">
        <v>29</v>
      </c>
      <c r="V64" s="95" t="s">
        <v>35</v>
      </c>
      <c r="W64" s="96"/>
    </row>
    <row r="65" spans="1:23" ht="72" x14ac:dyDescent="0.3">
      <c r="A65" s="31" t="str">
        <v>Инжиниринг предпроектный - КД</v>
      </c>
      <c r="B65" s="6" t="str">
        <v>3.701.2</v>
      </c>
      <c r="C65" s="6">
        <v>2</v>
      </c>
      <c r="D65" s="31" t="str">
        <v>Разработка ТЗ №1 на изделие в целом.
Постаматный вендинговый аппарат, модель Wate Tecnology С100/slave</v>
      </c>
      <c r="E65" s="15" t="str">
        <v>8/2026-n3-горизонт-ver_2-set_3.701.2-true</v>
      </c>
      <c r="F65" s="85" t="str">
        <f t="shared" si="2"/>
        <v>8/2026-n3-горизонт-ver_2-set_3.701.2-true</v>
      </c>
      <c r="G65">
        <v>1.5</v>
      </c>
      <c r="H65" s="87">
        <f>TabSpecificationWork_2[[#This Row],[COEFFICIENT MARKUP]]*TabSpecificationWork_1[[#This Row],[PRICE UNIT $PURCHASE]]</f>
        <v>30000</v>
      </c>
      <c r="I65" s="87">
        <f>TabSpecificationWork_1[[#This Row],[QUANTITY TOTAL]]*TabSpecificationWork_2[[#This Row],[PRICE UNIT $SALE]]</f>
        <v>30000</v>
      </c>
      <c r="J65" s="88">
        <v>0</v>
      </c>
      <c r="K65" s="88">
        <f>(TabSpecificationWork_2[[#This Row],[COST DEAL $SALE]]/100)*TabSpecificationWork_2[[#This Row],[DISCOUNT PERCENT]]</f>
        <v>0</v>
      </c>
      <c r="L65" s="89"/>
      <c r="M65" s="90">
        <f>_xlfn.LET(
    _xlpm.projNum, _xlfn.XLOOKUP(TabSpecificationWork_2[[#This Row],[HASH COLLECTION]], TabSpecificationWork_1[HASH COLLECTION], TabSpecificationWork_1[NUM PROJECT], ""),
    _xlpm.company, UPPER(TRIM(_xlfn.TEXTAFTER(_xlpm.projNum, "-", 2))),
    IF(_xlpm.company="ГОРИЗОНТ", 0.22, 0)
)</f>
        <v>0.22</v>
      </c>
      <c r="N65" s="98">
        <f>TabSpecificationWork_2[[#This Row],[PRICE UNIT $SALE]]</f>
        <v>30000</v>
      </c>
      <c r="O65" s="98">
        <f>TabSpecificationWork_2[[#This Row],[PRICE UNIT $TOTAL]] * TabSpecificationWork_2[[#This Row],[VAT RATE CONTRACTOR $TOTAL]]</f>
        <v>6600</v>
      </c>
      <c r="P65" s="98">
        <f>TabSpecificationWork_2[[#This Row],[PRICE UNIT $TOTAL]] + TabSpecificationWork_2[[#This Row],[VAT ADD PRICE UNIT $TOTAL]]</f>
        <v>36600</v>
      </c>
      <c r="Q65" s="92">
        <f>TabSpecificationWork_2[[#This Row],[COST DEAL $SALE]]-TabSpecificationWork_2[[#This Row],[DISCOUNT MONEY]]</f>
        <v>30000</v>
      </c>
      <c r="R65" s="98">
        <f>TabSpecificationWork_2[[#This Row],[COST $TOTAL]] * TabSpecificationWork_2[[#This Row],[VAT RATE CONTRACTOR $TOTAL]]</f>
        <v>6600</v>
      </c>
      <c r="S65" s="92">
        <f>TabSpecificationWork_2[[#This Row],[COST $TOTAL]] + TabSpecificationWork_2[[#This Row],[COST ADD VAT $TOTAL]]</f>
        <v>36600</v>
      </c>
      <c r="T65" s="120">
        <v>7</v>
      </c>
      <c r="U65" s="95" t="s">
        <v>29</v>
      </c>
      <c r="V65" s="95" t="s">
        <v>35</v>
      </c>
      <c r="W65" s="96"/>
    </row>
    <row r="66" spans="1:23" ht="86.4" x14ac:dyDescent="0.3">
      <c r="A66" s="31" t="str">
        <v>Инжиниринг проектный - КД</v>
      </c>
      <c r="B66" s="6" t="str">
        <v>3.701.3</v>
      </c>
      <c r="C66" s="6">
        <v>2</v>
      </c>
      <c r="D66" s="31" t="str">
        <v>Разработка ТЗ №2 на адаптацию ПТК к данной модели.
Постаматный вендинговый аппарат, модель Wate Tecnology С100/slave</v>
      </c>
      <c r="E66" s="15" t="str">
        <v>8/2026-n3-горизонт-ver_2-set_3.701.3-true</v>
      </c>
      <c r="F66" s="85" t="str">
        <f t="shared" si="2"/>
        <v>8/2026-n3-горизонт-ver_2-set_3.701.3-true</v>
      </c>
      <c r="G66">
        <v>1.5</v>
      </c>
      <c r="H66" s="87">
        <f>TabSpecificationWork_2[[#This Row],[COEFFICIENT MARKUP]]*TabSpecificationWork_1[[#This Row],[PRICE UNIT $PURCHASE]]</f>
        <v>30000</v>
      </c>
      <c r="I66" s="87">
        <f>TabSpecificationWork_1[[#This Row],[QUANTITY TOTAL]]*TabSpecificationWork_2[[#This Row],[PRICE UNIT $SALE]]</f>
        <v>30000</v>
      </c>
      <c r="J66" s="88">
        <v>0</v>
      </c>
      <c r="K66" s="88">
        <f>(TabSpecificationWork_2[[#This Row],[COST DEAL $SALE]]/100)*TabSpecificationWork_2[[#This Row],[DISCOUNT PERCENT]]</f>
        <v>0</v>
      </c>
      <c r="L66" s="89"/>
      <c r="M66" s="90">
        <f>_xlfn.LET(
    _xlpm.projNum, _xlfn.XLOOKUP(TabSpecificationWork_2[[#This Row],[HASH COLLECTION]], TabSpecificationWork_1[HASH COLLECTION], TabSpecificationWork_1[NUM PROJECT], ""),
    _xlpm.company, UPPER(TRIM(_xlfn.TEXTAFTER(_xlpm.projNum, "-", 2))),
    IF(_xlpm.company="ГОРИЗОНТ", 0.22, 0)
)</f>
        <v>0.22</v>
      </c>
      <c r="N66" s="98">
        <f>TabSpecificationWork_2[[#This Row],[PRICE UNIT $SALE]]</f>
        <v>30000</v>
      </c>
      <c r="O66" s="98">
        <f>TabSpecificationWork_2[[#This Row],[PRICE UNIT $TOTAL]] * TabSpecificationWork_2[[#This Row],[VAT RATE CONTRACTOR $TOTAL]]</f>
        <v>6600</v>
      </c>
      <c r="P66" s="98">
        <f>TabSpecificationWork_2[[#This Row],[PRICE UNIT $TOTAL]] + TabSpecificationWork_2[[#This Row],[VAT ADD PRICE UNIT $TOTAL]]</f>
        <v>36600</v>
      </c>
      <c r="Q66" s="92">
        <f>TabSpecificationWork_2[[#This Row],[COST DEAL $SALE]]-TabSpecificationWork_2[[#This Row],[DISCOUNT MONEY]]</f>
        <v>30000</v>
      </c>
      <c r="R66" s="98">
        <f>TabSpecificationWork_2[[#This Row],[COST $TOTAL]] * TabSpecificationWork_2[[#This Row],[VAT RATE CONTRACTOR $TOTAL]]</f>
        <v>6600</v>
      </c>
      <c r="S66" s="92">
        <f>TabSpecificationWork_2[[#This Row],[COST $TOTAL]] + TabSpecificationWork_2[[#This Row],[COST ADD VAT $TOTAL]]</f>
        <v>36600</v>
      </c>
      <c r="T66" s="120">
        <v>7</v>
      </c>
      <c r="U66" s="95" t="s">
        <v>29</v>
      </c>
      <c r="V66" s="95" t="s">
        <v>35</v>
      </c>
      <c r="W66" s="96"/>
    </row>
    <row r="67" spans="1:23" ht="100.8" x14ac:dyDescent="0.3">
      <c r="A67" s="31" t="str">
        <v>Инжиниринг проектный - АСУ</v>
      </c>
      <c r="B67" s="6" t="str">
        <v>3.702.1</v>
      </c>
      <c r="C67" s="6">
        <v>2</v>
      </c>
      <c r="D67" s="31" t="str">
        <v>Адаптация, комплектование и сборка ПТК в соответствии с ТЗ №2.
Постаматный вендинговый аппарат, модель Wate Tecnology С100/slave</v>
      </c>
      <c r="E67" s="15" t="str">
        <v>8/2026-n3-горизонт-ver_2-set_3.702.1-true</v>
      </c>
      <c r="F67" s="85" t="str">
        <f t="shared" si="2"/>
        <v>8/2026-n3-горизонт-ver_2-set_3.702.1-true</v>
      </c>
      <c r="G67">
        <v>3.2</v>
      </c>
      <c r="H67" s="87">
        <f>TabSpecificationWork_2[[#This Row],[COEFFICIENT MARKUP]]*TabSpecificationWork_1[[#This Row],[PRICE UNIT $PURCHASE]]</f>
        <v>2560000</v>
      </c>
      <c r="I67" s="87">
        <f>TabSpecificationWork_1[[#This Row],[QUANTITY TOTAL]]*TabSpecificationWork_2[[#This Row],[PRICE UNIT $SALE]]</f>
        <v>2560000</v>
      </c>
      <c r="J67" s="88">
        <v>0</v>
      </c>
      <c r="K67" s="88">
        <f>(TabSpecificationWork_2[[#This Row],[COST DEAL $SALE]]/100)*TabSpecificationWork_2[[#This Row],[DISCOUNT PERCENT]]</f>
        <v>0</v>
      </c>
      <c r="L67" s="89"/>
      <c r="M67" s="90">
        <f>_xlfn.LET(
    _xlpm.projNum, _xlfn.XLOOKUP(TabSpecificationWork_2[[#This Row],[HASH COLLECTION]], TabSpecificationWork_1[HASH COLLECTION], TabSpecificationWork_1[NUM PROJECT], ""),
    _xlpm.company, UPPER(TRIM(_xlfn.TEXTAFTER(_xlpm.projNum, "-", 2))),
    IF(_xlpm.company="ГОРИЗОНТ", 0.22, 0)
)</f>
        <v>0.22</v>
      </c>
      <c r="N67" s="98">
        <f>TabSpecificationWork_2[[#This Row],[PRICE UNIT $SALE]]</f>
        <v>2560000</v>
      </c>
      <c r="O67" s="98">
        <f>TabSpecificationWork_2[[#This Row],[PRICE UNIT $TOTAL]] * TabSpecificationWork_2[[#This Row],[VAT RATE CONTRACTOR $TOTAL]]</f>
        <v>563200</v>
      </c>
      <c r="P67" s="98">
        <f>TabSpecificationWork_2[[#This Row],[PRICE UNIT $TOTAL]] + TabSpecificationWork_2[[#This Row],[VAT ADD PRICE UNIT $TOTAL]]</f>
        <v>3123200</v>
      </c>
      <c r="Q67" s="92">
        <f>TabSpecificationWork_2[[#This Row],[COST DEAL $SALE]]-TabSpecificationWork_2[[#This Row],[DISCOUNT MONEY]]</f>
        <v>2560000</v>
      </c>
      <c r="R67" s="98">
        <f>TabSpecificationWork_2[[#This Row],[COST $TOTAL]] * TabSpecificationWork_2[[#This Row],[VAT RATE CONTRACTOR $TOTAL]]</f>
        <v>563200</v>
      </c>
      <c r="S67" s="92">
        <f>TabSpecificationWork_2[[#This Row],[COST $TOTAL]] + TabSpecificationWork_2[[#This Row],[COST ADD VAT $TOTAL]]</f>
        <v>3123200</v>
      </c>
      <c r="T67" s="120">
        <v>108</v>
      </c>
      <c r="U67" s="95" t="s">
        <v>29</v>
      </c>
      <c r="V67" s="95" t="s">
        <v>35</v>
      </c>
      <c r="W67" s="96"/>
    </row>
    <row r="68" spans="1:23" ht="100.8" x14ac:dyDescent="0.3">
      <c r="A68" s="31" t="str">
        <v>Инжиниринг постпроектный - КД</v>
      </c>
      <c r="B68" s="6" t="str">
        <v>3.703.1</v>
      </c>
      <c r="C68" s="6">
        <v>2</v>
      </c>
      <c r="D68" s="31" t="str">
        <v>Комплексное тестирование аппарата на базе новой системы управления.
Постаматный вендинговый аппарат, модель Wate Tecnology С100/slave</v>
      </c>
      <c r="E68" s="15" t="str">
        <v>8/2026-n3-горизонт-ver_2-set_3.703.1-true</v>
      </c>
      <c r="F68" s="85" t="str">
        <f t="shared" si="2"/>
        <v>8/2026-n3-горизонт-ver_2-set_3.703.1-true</v>
      </c>
      <c r="G68">
        <v>1.17</v>
      </c>
      <c r="H68" s="87">
        <f>TabSpecificationWork_2[[#This Row],[COEFFICIENT MARKUP]]*TabSpecificationWork_1[[#This Row],[PRICE UNIT $PURCHASE]]</f>
        <v>351000</v>
      </c>
      <c r="I68" s="87">
        <f>TabSpecificationWork_1[[#This Row],[QUANTITY TOTAL]]*TabSpecificationWork_2[[#This Row],[PRICE UNIT $SALE]]</f>
        <v>351000</v>
      </c>
      <c r="J68" s="88">
        <v>0</v>
      </c>
      <c r="K68" s="88">
        <f>(TabSpecificationWork_2[[#This Row],[COST DEAL $SALE]]/100)*TabSpecificationWork_2[[#This Row],[DISCOUNT PERCENT]]</f>
        <v>0</v>
      </c>
      <c r="L68" s="89"/>
      <c r="M68" s="90">
        <f>_xlfn.LET(
    _xlpm.projNum, _xlfn.XLOOKUP(TabSpecificationWork_2[[#This Row],[HASH COLLECTION]], TabSpecificationWork_1[HASH COLLECTION], TabSpecificationWork_1[NUM PROJECT], ""),
    _xlpm.company, UPPER(TRIM(_xlfn.TEXTAFTER(_xlpm.projNum, "-", 2))),
    IF(_xlpm.company="ГОРИЗОНТ", 0.22, 0)
)</f>
        <v>0.22</v>
      </c>
      <c r="N68" s="98">
        <f>TabSpecificationWork_2[[#This Row],[PRICE UNIT $SALE]]</f>
        <v>351000</v>
      </c>
      <c r="O68" s="98">
        <f>TabSpecificationWork_2[[#This Row],[PRICE UNIT $TOTAL]] * TabSpecificationWork_2[[#This Row],[VAT RATE CONTRACTOR $TOTAL]]</f>
        <v>77220</v>
      </c>
      <c r="P68" s="98">
        <f>TabSpecificationWork_2[[#This Row],[PRICE UNIT $TOTAL]] + TabSpecificationWork_2[[#This Row],[VAT ADD PRICE UNIT $TOTAL]]</f>
        <v>428220</v>
      </c>
      <c r="Q68" s="92">
        <f>TabSpecificationWork_2[[#This Row],[COST DEAL $SALE]]-TabSpecificationWork_2[[#This Row],[DISCOUNT MONEY]]</f>
        <v>351000</v>
      </c>
      <c r="R68" s="98">
        <f>TabSpecificationWork_2[[#This Row],[COST $TOTAL]] * TabSpecificationWork_2[[#This Row],[VAT RATE CONTRACTOR $TOTAL]]</f>
        <v>77220</v>
      </c>
      <c r="S68" s="92">
        <f>TabSpecificationWork_2[[#This Row],[COST $TOTAL]] + TabSpecificationWork_2[[#This Row],[COST ADD VAT $TOTAL]]</f>
        <v>428220</v>
      </c>
      <c r="T68" s="120">
        <v>14</v>
      </c>
      <c r="U68" s="95" t="s">
        <v>29</v>
      </c>
      <c r="V68" s="95" t="s">
        <v>35</v>
      </c>
      <c r="W68" s="96" t="s">
        <v>660</v>
      </c>
    </row>
    <row r="69" spans="1:23" ht="86.4" x14ac:dyDescent="0.3">
      <c r="A69" s="31" t="str">
        <v>Инжиниринг постпроектный - консалтинг</v>
      </c>
      <c r="B69" s="6" t="str">
        <v>3.504.1</v>
      </c>
      <c r="C69" s="6">
        <v>2</v>
      </c>
      <c r="D69" s="31" t="str">
        <v>Консалтинговые услуги. Выездная приемка комплектующих на территории производител, модель Wate Tecnology G24P/master</v>
      </c>
      <c r="E69" s="15" t="str">
        <v>8/2026-n3-горизонт-ver_2-set_3.504.1-true</v>
      </c>
      <c r="F69" s="85" t="str">
        <f t="shared" si="2"/>
        <v>8/2026-n3-горизонт-ver_2-set_3.504.1-true</v>
      </c>
      <c r="G69" s="119">
        <v>1</v>
      </c>
      <c r="H69" s="87">
        <f>TabSpecificationWork_2[[#This Row],[COEFFICIENT MARKUP]]*TabSpecificationWork_1[[#This Row],[PRICE UNIT $PURCHASE]]</f>
        <v>33300</v>
      </c>
      <c r="I69" s="87">
        <f>TabSpecificationWork_1[[#This Row],[QUANTITY TOTAL]]*TabSpecificationWork_2[[#This Row],[PRICE UNIT $SALE]]</f>
        <v>33300</v>
      </c>
      <c r="J69" s="88">
        <v>0</v>
      </c>
      <c r="K69" s="88">
        <f>(TabSpecificationWork_2[[#This Row],[COST DEAL $SALE]]/100)*TabSpecificationWork_2[[#This Row],[DISCOUNT PERCENT]]</f>
        <v>0</v>
      </c>
      <c r="L69" s="89"/>
      <c r="M69" s="90">
        <f>_xlfn.LET(
    _xlpm.projNum, _xlfn.XLOOKUP(TabSpecificationWork_2[[#This Row],[HASH COLLECTION]], TabSpecificationWork_1[HASH COLLECTION], TabSpecificationWork_1[NUM PROJECT], ""),
    _xlpm.company, UPPER(TRIM(_xlfn.TEXTAFTER(_xlpm.projNum, "-", 2))),
    IF(_xlpm.company="ГОРИЗОНТ", 0.22, 0)
)</f>
        <v>0.22</v>
      </c>
      <c r="N69" s="98">
        <f>TabSpecificationWork_2[[#This Row],[PRICE UNIT $SALE]]</f>
        <v>33300</v>
      </c>
      <c r="O69" s="98">
        <f>TabSpecificationWork_2[[#This Row],[PRICE UNIT $TOTAL]] * TabSpecificationWork_2[[#This Row],[VAT RATE CONTRACTOR $TOTAL]]</f>
        <v>7326</v>
      </c>
      <c r="P69" s="98">
        <f>TabSpecificationWork_2[[#This Row],[PRICE UNIT $TOTAL]] + TabSpecificationWork_2[[#This Row],[VAT ADD PRICE UNIT $TOTAL]]</f>
        <v>40626</v>
      </c>
      <c r="Q69" s="92">
        <f>TabSpecificationWork_2[[#This Row],[COST DEAL $SALE]]-TabSpecificationWork_2[[#This Row],[DISCOUNT MONEY]]</f>
        <v>33300</v>
      </c>
      <c r="R69" s="98">
        <f>TabSpecificationWork_2[[#This Row],[COST $TOTAL]] * TabSpecificationWork_2[[#This Row],[VAT RATE CONTRACTOR $TOTAL]]</f>
        <v>7326</v>
      </c>
      <c r="S69" s="92">
        <f>TabSpecificationWork_2[[#This Row],[COST $TOTAL]] + TabSpecificationWork_2[[#This Row],[COST ADD VAT $TOTAL]]</f>
        <v>40626</v>
      </c>
      <c r="T69" s="120">
        <v>7</v>
      </c>
      <c r="U69" s="95" t="s">
        <v>29</v>
      </c>
      <c r="V69" s="95" t="s">
        <v>35</v>
      </c>
      <c r="W69" s="96"/>
    </row>
    <row r="70" spans="1:23" ht="86.4" x14ac:dyDescent="0.3">
      <c r="A70" s="31" t="str">
        <v>Инжиниринг постпроектный - консалтинг</v>
      </c>
      <c r="B70" s="6" t="str">
        <v>3.704.1</v>
      </c>
      <c r="C70" s="6">
        <v>2</v>
      </c>
      <c r="D70" s="31" t="str">
        <v>Консалтинговые услуги. Выездная приемка комплектующих на территории производител, модель Wate Tecnology С100/slave</v>
      </c>
      <c r="E70" s="15" t="str">
        <v>8/2026-n3-горизонт-ver_2-set_3.704.1-true</v>
      </c>
      <c r="F70" s="85" t="str">
        <f t="shared" si="2"/>
        <v>8/2026-n3-горизонт-ver_2-set_3.704.1-true</v>
      </c>
      <c r="G70" s="119">
        <v>1</v>
      </c>
      <c r="H70" s="87">
        <f>TabSpecificationWork_2[[#This Row],[COEFFICIENT MARKUP]]*TabSpecificationWork_1[[#This Row],[PRICE UNIT $PURCHASE]]</f>
        <v>33300</v>
      </c>
      <c r="I70" s="87">
        <f>TabSpecificationWork_1[[#This Row],[QUANTITY TOTAL]]*TabSpecificationWork_2[[#This Row],[PRICE UNIT $SALE]]</f>
        <v>33300</v>
      </c>
      <c r="J70" s="88">
        <v>0</v>
      </c>
      <c r="K70" s="88">
        <f>(TabSpecificationWork_2[[#This Row],[COST DEAL $SALE]]/100)*TabSpecificationWork_2[[#This Row],[DISCOUNT PERCENT]]</f>
        <v>0</v>
      </c>
      <c r="L70" s="89"/>
      <c r="M70" s="90">
        <f>_xlfn.LET(
    _xlpm.projNum, _xlfn.XLOOKUP(TabSpecificationWork_2[[#This Row],[HASH COLLECTION]], TabSpecificationWork_1[HASH COLLECTION], TabSpecificationWork_1[NUM PROJECT], ""),
    _xlpm.company, UPPER(TRIM(_xlfn.TEXTAFTER(_xlpm.projNum, "-", 2))),
    IF(_xlpm.company="ГОРИЗОНТ", 0.22, 0)
)</f>
        <v>0.22</v>
      </c>
      <c r="N70" s="98">
        <f>TabSpecificationWork_2[[#This Row],[PRICE UNIT $SALE]]</f>
        <v>33300</v>
      </c>
      <c r="O70" s="98">
        <f>TabSpecificationWork_2[[#This Row],[PRICE UNIT $TOTAL]] * TabSpecificationWork_2[[#This Row],[VAT RATE CONTRACTOR $TOTAL]]</f>
        <v>7326</v>
      </c>
      <c r="P70" s="98">
        <f>TabSpecificationWork_2[[#This Row],[PRICE UNIT $TOTAL]] + TabSpecificationWork_2[[#This Row],[VAT ADD PRICE UNIT $TOTAL]]</f>
        <v>40626</v>
      </c>
      <c r="Q70" s="92">
        <f>TabSpecificationWork_2[[#This Row],[COST DEAL $SALE]]-TabSpecificationWork_2[[#This Row],[DISCOUNT MONEY]]</f>
        <v>33300</v>
      </c>
      <c r="R70" s="98">
        <f>TabSpecificationWork_2[[#This Row],[COST $TOTAL]] * TabSpecificationWork_2[[#This Row],[VAT RATE CONTRACTOR $TOTAL]]</f>
        <v>7326</v>
      </c>
      <c r="S70" s="92">
        <f>TabSpecificationWork_2[[#This Row],[COST $TOTAL]] + TabSpecificationWork_2[[#This Row],[COST ADD VAT $TOTAL]]</f>
        <v>40626</v>
      </c>
      <c r="T70" s="120">
        <v>7</v>
      </c>
      <c r="U70" s="95" t="s">
        <v>29</v>
      </c>
      <c r="V70" s="95" t="s">
        <v>35</v>
      </c>
      <c r="W70" s="96"/>
    </row>
    <row r="74" spans="1:23" x14ac:dyDescent="0.3">
      <c r="Q74" s="46"/>
    </row>
    <row r="75" spans="1:23" x14ac:dyDescent="0.3">
      <c r="H75" s="122"/>
    </row>
    <row r="76" spans="1:23" x14ac:dyDescent="0.3">
      <c r="Q76" s="57"/>
    </row>
    <row r="77" spans="1:23" x14ac:dyDescent="0.3">
      <c r="Q77" s="55"/>
    </row>
  </sheetData>
  <protectedRanges>
    <protectedRange algorithmName="SHA-512" hashValue="ClrlULK2rSOnWAW8ESQdR0iexPhR1fvgw1b4VdzkI7+WxUstHdimQPQmGWzIrHMbKjcmExZVhYnBnmivRBHq/A==" saltValue="HinO+kCkV4wHuu0/nS5IsQ==" spinCount="100000" sqref="A1:D1048576" name="SpecificationWork_1_segment" securityDescriptor="O:WDG:WDD:(A;;CC;;;S-1-5-21-1937151985-3284409454-3114792232-1001)"/>
  </protectedRanges>
  <autoFilter ref="A1:D45" xr:uid="{8BE1788F-427C-4C8A-973B-3BED45D75508}"/>
  <phoneticPr fontId="19" type="noConversion"/>
  <conditionalFormatting sqref="F2:F70 H2:I1053 H46:K70">
    <cfRule type="notContainsBlanks" dxfId="55" priority="21">
      <formula>LEN(TRIM(F2))&gt;0</formula>
    </cfRule>
  </conditionalFormatting>
  <conditionalFormatting sqref="J2:J70">
    <cfRule type="notContainsBlanks" dxfId="54" priority="8">
      <formula>LEN(TRIM(J2))&gt;0</formula>
    </cfRule>
  </conditionalFormatting>
  <conditionalFormatting sqref="K2:K70">
    <cfRule type="notContainsBlanks" dxfId="53" priority="1">
      <formula>LEN(TRIM(K2))&gt;0</formula>
    </cfRule>
  </conditionalFormatting>
  <conditionalFormatting sqref="M2:M70">
    <cfRule type="notContainsBlanks" dxfId="52" priority="16">
      <formula>LEN(TRIM(M2))&gt;0</formula>
    </cfRule>
  </conditionalFormatting>
  <conditionalFormatting sqref="Q2:Q70">
    <cfRule type="notContainsBlanks" dxfId="51" priority="22">
      <formula>LEN(TRIM(Q2))&gt;0</formula>
    </cfRule>
  </conditionalFormatting>
  <conditionalFormatting sqref="S2:S70">
    <cfRule type="notContainsBlanks" dxfId="50" priority="2">
      <formula>LEN(TRIM(S2))&gt;0</formula>
    </cfRule>
  </conditionalFormatting>
  <conditionalFormatting sqref="V2:V70">
    <cfRule type="expression" dxfId="49" priority="15">
      <formula>IF($V2="true",1,0)</formula>
    </cfRule>
  </conditionalFormatting>
  <dataValidations count="3">
    <dataValidation type="list" showInputMessage="1" showErrorMessage="1" sqref="V2:V70" xr:uid="{0140C6BC-EE55-4B04-856D-84DE8E6BB8E2}">
      <formula1>"false,true,"</formula1>
    </dataValidation>
    <dataValidation type="list" showInputMessage="1" showErrorMessage="1" sqref="U2:U70" xr:uid="{AE30E414-4F03-4AC9-8B9A-9DAE797387C1}">
      <formula1>"true,false,"</formula1>
    </dataValidation>
    <dataValidation operator="greaterThan" showInputMessage="1" showErrorMessage="1" sqref="T11:T20" xr:uid="{DFE7A8CC-1F70-4D92-B40B-653B7D68AB41}"/>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826D-28F8-4FB6-8314-898C0153C1C4}">
  <dimension ref="A1:AU77"/>
  <sheetViews>
    <sheetView tabSelected="1" zoomScale="85" zoomScaleNormal="85" workbookViewId="0">
      <pane ySplit="1" topLeftCell="A46" activePane="bottomLeft" state="frozen"/>
      <selection pane="bottomLeft" activeCell="L52" sqref="L52"/>
    </sheetView>
  </sheetViews>
  <sheetFormatPr defaultRowHeight="14.4" x14ac:dyDescent="0.3"/>
  <cols>
    <col min="1" max="1" width="12" bestFit="1" customWidth="1"/>
    <col min="2" max="2" width="13.88671875" bestFit="1" customWidth="1"/>
    <col min="3" max="3" width="20.33203125" bestFit="1" customWidth="1"/>
    <col min="4" max="4" width="17.33203125" bestFit="1" customWidth="1"/>
    <col min="5" max="5" width="21" bestFit="1" customWidth="1"/>
    <col min="6" max="6" width="39.109375" bestFit="1" customWidth="1"/>
    <col min="7" max="7" width="10.5546875" bestFit="1" customWidth="1"/>
    <col min="8" max="8" width="24.5546875" bestFit="1" customWidth="1"/>
    <col min="9" max="9" width="19.109375" bestFit="1" customWidth="1"/>
    <col min="10" max="10" width="15" bestFit="1" customWidth="1"/>
    <col min="11" max="11" width="40" bestFit="1" customWidth="1"/>
    <col min="12" max="13" width="80.88671875" bestFit="1" customWidth="1"/>
    <col min="14" max="14" width="12.5546875" bestFit="1" customWidth="1"/>
    <col min="15" max="15" width="14.44140625" bestFit="1" customWidth="1"/>
    <col min="16" max="16" width="22.21875" bestFit="1" customWidth="1"/>
    <col min="17" max="17" width="22.77734375" bestFit="1" customWidth="1"/>
    <col min="18" max="18" width="11.44140625" bestFit="1" customWidth="1"/>
    <col min="19" max="19" width="19.109375" bestFit="1" customWidth="1"/>
    <col min="20" max="20" width="27.44140625" bestFit="1" customWidth="1"/>
    <col min="21" max="21" width="21.6640625" bestFit="1" customWidth="1"/>
    <col min="22" max="22" width="24.44140625" bestFit="1" customWidth="1"/>
    <col min="23" max="23" width="27.21875" bestFit="1" customWidth="1"/>
    <col min="24" max="24" width="28.33203125" bestFit="1" customWidth="1"/>
    <col min="25" max="25" width="27.5546875" bestFit="1" customWidth="1"/>
    <col min="26" max="26" width="29.109375" bestFit="1" customWidth="1"/>
    <col min="27" max="27" width="17" bestFit="1" customWidth="1"/>
    <col min="28" max="28" width="44.6640625" bestFit="1" customWidth="1"/>
    <col min="29" max="29" width="15.88671875" bestFit="1" customWidth="1"/>
    <col min="30" max="30" width="21.33203125" bestFit="1" customWidth="1"/>
    <col min="31" max="31" width="25.88671875" bestFit="1" customWidth="1"/>
    <col min="32" max="32" width="21.88671875" bestFit="1" customWidth="1"/>
    <col min="33" max="33" width="21.77734375" bestFit="1" customWidth="1"/>
    <col min="34" max="34" width="24" bestFit="1" customWidth="1"/>
    <col min="35" max="35" width="22.77734375" bestFit="1" customWidth="1"/>
    <col min="36" max="36" width="28.33203125" bestFit="1" customWidth="1"/>
    <col min="37" max="37" width="32.6640625" bestFit="1" customWidth="1"/>
    <col min="38" max="38" width="23.5546875" bestFit="1" customWidth="1"/>
    <col min="39" max="39" width="29.6640625" bestFit="1" customWidth="1"/>
    <col min="40" max="40" width="25.109375" bestFit="1" customWidth="1"/>
    <col min="41" max="41" width="18" bestFit="1" customWidth="1"/>
    <col min="42" max="42" width="24.109375" bestFit="1" customWidth="1"/>
    <col min="43" max="43" width="19.5546875" bestFit="1" customWidth="1"/>
    <col min="44" max="44" width="28.21875" bestFit="1" customWidth="1"/>
    <col min="45" max="45" width="15.88671875" bestFit="1" customWidth="1"/>
    <col min="46" max="46" width="18.77734375" bestFit="1" customWidth="1"/>
    <col min="47" max="47" width="26.5546875" bestFit="1" customWidth="1"/>
    <col min="48" max="48" width="81.109375" bestFit="1" customWidth="1"/>
  </cols>
  <sheetData>
    <row r="1" spans="1:47" s="13" customFormat="1"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13" t="s">
        <v>470</v>
      </c>
      <c r="Y1" s="7" t="s">
        <v>23</v>
      </c>
      <c r="Z1" s="13" t="s">
        <v>542</v>
      </c>
      <c r="AA1" s="7" t="s">
        <v>24</v>
      </c>
      <c r="AB1" s="7" t="s">
        <v>25</v>
      </c>
      <c r="AC1" s="13" t="s">
        <v>26</v>
      </c>
      <c r="AD1" s="7" t="s">
        <v>27</v>
      </c>
      <c r="AE1" s="7" t="s">
        <v>58</v>
      </c>
      <c r="AF1" s="7" t="s">
        <v>59</v>
      </c>
      <c r="AG1" s="7" t="s">
        <v>60</v>
      </c>
      <c r="AH1" s="7" t="s">
        <v>61</v>
      </c>
      <c r="AI1" s="7" t="s">
        <v>62</v>
      </c>
      <c r="AJ1" s="7" t="s">
        <v>63</v>
      </c>
      <c r="AK1" s="13" t="s">
        <v>471</v>
      </c>
      <c r="AL1" s="7" t="s">
        <v>64</v>
      </c>
      <c r="AM1" s="13" t="s">
        <v>472</v>
      </c>
      <c r="AN1" s="13" t="s">
        <v>473</v>
      </c>
      <c r="AO1" s="7" t="s">
        <v>65</v>
      </c>
      <c r="AP1" s="13" t="s">
        <v>474</v>
      </c>
      <c r="AQ1" s="13" t="s">
        <v>475</v>
      </c>
      <c r="AR1" s="7" t="s">
        <v>66</v>
      </c>
      <c r="AS1" s="7" t="s">
        <v>67</v>
      </c>
      <c r="AT1" s="7" t="s">
        <v>68</v>
      </c>
      <c r="AU1" s="7" t="s">
        <v>69</v>
      </c>
    </row>
    <row r="2" spans="1:47" ht="144" x14ac:dyDescent="0.3">
      <c r="A2" s="47">
        <v>1</v>
      </c>
      <c r="B2" s="47" t="s">
        <v>491</v>
      </c>
      <c r="C2" s="47" t="s">
        <v>492</v>
      </c>
      <c r="D2" s="47" t="s">
        <v>490</v>
      </c>
      <c r="E2" s="47">
        <v>1</v>
      </c>
      <c r="F2" s="48" t="s">
        <v>493</v>
      </c>
      <c r="G2" s="47">
        <v>101</v>
      </c>
      <c r="H2" s="47">
        <v>1</v>
      </c>
      <c r="I2" s="47" t="s">
        <v>575</v>
      </c>
      <c r="J2" s="47" t="s">
        <v>29</v>
      </c>
      <c r="K2" s="47" t="s">
        <v>576</v>
      </c>
      <c r="L2" s="48" t="s">
        <v>494</v>
      </c>
      <c r="M2" s="48" t="s">
        <v>736</v>
      </c>
      <c r="N2" s="47" t="s">
        <v>268</v>
      </c>
      <c r="O2" s="47" t="s">
        <v>268</v>
      </c>
      <c r="P2" s="49" t="s">
        <v>550</v>
      </c>
      <c r="Q2" s="47" t="s">
        <v>550</v>
      </c>
      <c r="R2" s="47" t="s">
        <v>33</v>
      </c>
      <c r="S2" s="47">
        <v>1</v>
      </c>
      <c r="T2" s="47">
        <v>1</v>
      </c>
      <c r="U2" s="47">
        <v>1</v>
      </c>
      <c r="V2" s="47">
        <v>1</v>
      </c>
      <c r="W2" s="50">
        <v>78000</v>
      </c>
      <c r="X2" s="57">
        <v>0</v>
      </c>
      <c r="Y2" s="50">
        <v>78000</v>
      </c>
      <c r="Z2" s="57">
        <v>78000</v>
      </c>
      <c r="AA2" s="51" t="s">
        <v>491</v>
      </c>
      <c r="AB2" s="48" t="s">
        <v>551</v>
      </c>
      <c r="AC2" t="s">
        <v>491</v>
      </c>
      <c r="AD2" s="51" t="s">
        <v>491</v>
      </c>
      <c r="AE2" s="52">
        <v>4.5</v>
      </c>
      <c r="AF2" s="50">
        <v>351000</v>
      </c>
      <c r="AG2" s="50">
        <v>351000</v>
      </c>
      <c r="AH2" s="51">
        <v>0</v>
      </c>
      <c r="AI2" s="51">
        <v>0</v>
      </c>
      <c r="AJ2" s="51"/>
      <c r="AK2">
        <v>0.22</v>
      </c>
      <c r="AL2" s="50">
        <v>351000</v>
      </c>
      <c r="AM2" s="57">
        <v>77220</v>
      </c>
      <c r="AN2">
        <v>428220</v>
      </c>
      <c r="AO2" s="50">
        <v>351000</v>
      </c>
      <c r="AP2" s="57">
        <v>77220</v>
      </c>
      <c r="AQ2">
        <v>428220</v>
      </c>
      <c r="AR2" s="51">
        <v>25</v>
      </c>
      <c r="AS2" s="47" t="s">
        <v>29</v>
      </c>
      <c r="AT2" s="47" t="s">
        <v>35</v>
      </c>
      <c r="AU2" s="53"/>
    </row>
    <row r="3" spans="1:47" ht="172.8" x14ac:dyDescent="0.3">
      <c r="A3" s="14">
        <v>2</v>
      </c>
      <c r="B3" s="14" t="s">
        <v>491</v>
      </c>
      <c r="C3" s="14" t="s">
        <v>492</v>
      </c>
      <c r="D3" s="14" t="s">
        <v>490</v>
      </c>
      <c r="E3" s="14">
        <v>1</v>
      </c>
      <c r="F3" s="42" t="s">
        <v>493</v>
      </c>
      <c r="G3" s="14">
        <v>101</v>
      </c>
      <c r="H3" s="14">
        <v>2</v>
      </c>
      <c r="I3" s="14" t="s">
        <v>577</v>
      </c>
      <c r="J3" s="14" t="s">
        <v>29</v>
      </c>
      <c r="K3" s="14" t="s">
        <v>578</v>
      </c>
      <c r="L3" s="42" t="s">
        <v>495</v>
      </c>
      <c r="M3" s="42" t="s">
        <v>737</v>
      </c>
      <c r="N3" s="14" t="s">
        <v>268</v>
      </c>
      <c r="O3" s="14" t="s">
        <v>268</v>
      </c>
      <c r="P3" s="43" t="s">
        <v>550</v>
      </c>
      <c r="Q3" s="14" t="s">
        <v>550</v>
      </c>
      <c r="R3" s="14" t="s">
        <v>33</v>
      </c>
      <c r="S3" s="14">
        <v>1</v>
      </c>
      <c r="T3" s="14">
        <v>1</v>
      </c>
      <c r="U3" s="14">
        <v>1</v>
      </c>
      <c r="V3" s="14">
        <v>1</v>
      </c>
      <c r="W3" s="34">
        <v>25000</v>
      </c>
      <c r="X3" s="57">
        <v>0</v>
      </c>
      <c r="Y3" s="34">
        <v>25000</v>
      </c>
      <c r="Z3" s="57">
        <v>25000</v>
      </c>
      <c r="AA3" s="33" t="s">
        <v>491</v>
      </c>
      <c r="AB3" s="42" t="s">
        <v>551</v>
      </c>
      <c r="AC3" t="s">
        <v>491</v>
      </c>
      <c r="AD3" s="33" t="s">
        <v>491</v>
      </c>
      <c r="AE3" s="35">
        <v>2.5</v>
      </c>
      <c r="AF3" s="34">
        <v>62500</v>
      </c>
      <c r="AG3" s="34">
        <v>62500</v>
      </c>
      <c r="AH3" s="33">
        <v>0</v>
      </c>
      <c r="AI3" s="33">
        <v>0</v>
      </c>
      <c r="AJ3" s="33"/>
      <c r="AK3">
        <v>0.22</v>
      </c>
      <c r="AL3" s="34">
        <v>62500</v>
      </c>
      <c r="AM3" s="57">
        <v>13750</v>
      </c>
      <c r="AN3">
        <v>76250</v>
      </c>
      <c r="AO3" s="34">
        <v>62500</v>
      </c>
      <c r="AP3" s="57">
        <v>13750</v>
      </c>
      <c r="AQ3">
        <v>76250</v>
      </c>
      <c r="AR3" s="33">
        <v>10</v>
      </c>
      <c r="AS3" s="14" t="s">
        <v>29</v>
      </c>
      <c r="AT3" s="14" t="s">
        <v>35</v>
      </c>
      <c r="AU3" s="44"/>
    </row>
    <row r="4" spans="1:47" ht="201.6" x14ac:dyDescent="0.3">
      <c r="A4" s="14">
        <v>3</v>
      </c>
      <c r="B4" s="14" t="s">
        <v>491</v>
      </c>
      <c r="C4" s="14" t="s">
        <v>492</v>
      </c>
      <c r="D4" s="14" t="s">
        <v>490</v>
      </c>
      <c r="E4" s="14">
        <v>1</v>
      </c>
      <c r="F4" s="42" t="s">
        <v>493</v>
      </c>
      <c r="G4" s="14">
        <v>101</v>
      </c>
      <c r="H4" s="14">
        <v>3</v>
      </c>
      <c r="I4" s="14" t="s">
        <v>579</v>
      </c>
      <c r="J4" s="14" t="s">
        <v>29</v>
      </c>
      <c r="K4" s="14" t="s">
        <v>580</v>
      </c>
      <c r="L4" s="42" t="s">
        <v>738</v>
      </c>
      <c r="M4" s="42" t="s">
        <v>739</v>
      </c>
      <c r="N4" s="14" t="s">
        <v>268</v>
      </c>
      <c r="O4" s="14" t="s">
        <v>268</v>
      </c>
      <c r="P4" s="43" t="s">
        <v>550</v>
      </c>
      <c r="Q4" s="14" t="s">
        <v>550</v>
      </c>
      <c r="R4" s="14" t="s">
        <v>33</v>
      </c>
      <c r="S4" s="14">
        <v>1</v>
      </c>
      <c r="T4" s="14">
        <v>1</v>
      </c>
      <c r="U4" s="14">
        <v>1</v>
      </c>
      <c r="V4" s="14">
        <v>1</v>
      </c>
      <c r="W4" s="34">
        <v>46000</v>
      </c>
      <c r="X4" s="57">
        <v>0</v>
      </c>
      <c r="Y4" s="34">
        <v>46000</v>
      </c>
      <c r="Z4" s="57">
        <v>46000</v>
      </c>
      <c r="AA4" s="33" t="s">
        <v>491</v>
      </c>
      <c r="AB4" s="42" t="s">
        <v>551</v>
      </c>
      <c r="AC4" t="s">
        <v>491</v>
      </c>
      <c r="AD4" s="33"/>
      <c r="AE4" s="35">
        <v>7.1</v>
      </c>
      <c r="AF4" s="34">
        <v>326600</v>
      </c>
      <c r="AG4" s="34">
        <v>326600</v>
      </c>
      <c r="AH4" s="33">
        <v>0</v>
      </c>
      <c r="AI4" s="33">
        <v>0</v>
      </c>
      <c r="AJ4" s="33"/>
      <c r="AK4">
        <v>0.22</v>
      </c>
      <c r="AL4" s="34">
        <v>326600</v>
      </c>
      <c r="AM4" s="57">
        <v>71852</v>
      </c>
      <c r="AN4">
        <v>398452</v>
      </c>
      <c r="AO4" s="34">
        <v>326600</v>
      </c>
      <c r="AP4" s="57">
        <v>71852</v>
      </c>
      <c r="AQ4">
        <v>398452</v>
      </c>
      <c r="AR4" s="33">
        <v>20</v>
      </c>
      <c r="AS4" s="14" t="s">
        <v>29</v>
      </c>
      <c r="AT4" s="14" t="s">
        <v>35</v>
      </c>
      <c r="AU4" s="44"/>
    </row>
    <row r="5" spans="1:47" ht="129.6" x14ac:dyDescent="0.3">
      <c r="A5" s="14">
        <v>4</v>
      </c>
      <c r="B5" s="14" t="s">
        <v>491</v>
      </c>
      <c r="C5" s="14" t="s">
        <v>492</v>
      </c>
      <c r="D5" s="14" t="s">
        <v>490</v>
      </c>
      <c r="E5" s="14">
        <v>1</v>
      </c>
      <c r="F5" s="42" t="s">
        <v>493</v>
      </c>
      <c r="G5" s="14">
        <v>101</v>
      </c>
      <c r="H5" s="14">
        <v>4</v>
      </c>
      <c r="I5" s="14" t="s">
        <v>581</v>
      </c>
      <c r="J5" s="14" t="s">
        <v>29</v>
      </c>
      <c r="K5" s="14" t="s">
        <v>582</v>
      </c>
      <c r="L5" s="42" t="s">
        <v>496</v>
      </c>
      <c r="M5" s="42" t="s">
        <v>734</v>
      </c>
      <c r="N5" s="14" t="s">
        <v>268</v>
      </c>
      <c r="O5" s="14" t="s">
        <v>268</v>
      </c>
      <c r="P5" s="43" t="s">
        <v>550</v>
      </c>
      <c r="Q5" s="14" t="s">
        <v>550</v>
      </c>
      <c r="R5" s="14" t="s">
        <v>33</v>
      </c>
      <c r="S5" s="14">
        <v>1</v>
      </c>
      <c r="T5" s="14">
        <v>1</v>
      </c>
      <c r="U5" s="14">
        <v>1</v>
      </c>
      <c r="V5" s="14">
        <v>1</v>
      </c>
      <c r="W5" s="34">
        <v>50000</v>
      </c>
      <c r="X5" s="57">
        <v>0</v>
      </c>
      <c r="Y5" s="34">
        <v>50000</v>
      </c>
      <c r="Z5" s="57">
        <v>50000</v>
      </c>
      <c r="AA5" s="33" t="s">
        <v>491</v>
      </c>
      <c r="AB5" s="42" t="s">
        <v>551</v>
      </c>
      <c r="AC5" t="s">
        <v>491</v>
      </c>
      <c r="AD5" s="33"/>
      <c r="AE5" s="35">
        <v>7</v>
      </c>
      <c r="AF5" s="34">
        <v>350000</v>
      </c>
      <c r="AG5" s="34">
        <v>350000</v>
      </c>
      <c r="AH5" s="33">
        <v>0</v>
      </c>
      <c r="AI5" s="33">
        <v>0</v>
      </c>
      <c r="AJ5" s="33"/>
      <c r="AK5">
        <v>0.22</v>
      </c>
      <c r="AL5" s="34">
        <v>350000</v>
      </c>
      <c r="AM5" s="57">
        <v>77000</v>
      </c>
      <c r="AN5">
        <v>427000</v>
      </c>
      <c r="AO5" s="34">
        <v>350000</v>
      </c>
      <c r="AP5" s="57">
        <v>77000</v>
      </c>
      <c r="AQ5">
        <v>427000</v>
      </c>
      <c r="AR5" s="33">
        <v>25</v>
      </c>
      <c r="AS5" s="14" t="s">
        <v>29</v>
      </c>
      <c r="AT5" s="14" t="s">
        <v>35</v>
      </c>
      <c r="AU5" s="44"/>
    </row>
    <row r="6" spans="1:47" ht="144" x14ac:dyDescent="0.3">
      <c r="A6" s="14">
        <v>5</v>
      </c>
      <c r="B6" s="14" t="s">
        <v>491</v>
      </c>
      <c r="C6" s="14" t="s">
        <v>492</v>
      </c>
      <c r="D6" s="14" t="s">
        <v>490</v>
      </c>
      <c r="E6" s="14">
        <v>1</v>
      </c>
      <c r="F6" s="42" t="s">
        <v>493</v>
      </c>
      <c r="G6" s="14">
        <v>101</v>
      </c>
      <c r="H6" s="14">
        <v>5</v>
      </c>
      <c r="I6" s="14" t="s">
        <v>583</v>
      </c>
      <c r="J6" s="14" t="s">
        <v>29</v>
      </c>
      <c r="K6" s="14" t="s">
        <v>584</v>
      </c>
      <c r="L6" s="42" t="s">
        <v>497</v>
      </c>
      <c r="M6" s="42" t="s">
        <v>742</v>
      </c>
      <c r="N6" s="14" t="s">
        <v>268</v>
      </c>
      <c r="O6" s="14" t="s">
        <v>268</v>
      </c>
      <c r="P6" s="43" t="s">
        <v>550</v>
      </c>
      <c r="Q6" s="14" t="s">
        <v>550</v>
      </c>
      <c r="R6" s="14" t="s">
        <v>33</v>
      </c>
      <c r="S6" s="14">
        <v>1</v>
      </c>
      <c r="T6" s="14">
        <v>1</v>
      </c>
      <c r="U6" s="14">
        <v>1</v>
      </c>
      <c r="V6" s="14">
        <v>1</v>
      </c>
      <c r="W6" s="34">
        <v>50000</v>
      </c>
      <c r="X6" s="57">
        <v>0</v>
      </c>
      <c r="Y6" s="34">
        <v>50000</v>
      </c>
      <c r="Z6" s="57">
        <v>50000</v>
      </c>
      <c r="AA6" s="33" t="s">
        <v>491</v>
      </c>
      <c r="AB6" s="42" t="s">
        <v>551</v>
      </c>
      <c r="AC6" t="s">
        <v>491</v>
      </c>
      <c r="AD6" s="33"/>
      <c r="AE6" s="35">
        <v>6</v>
      </c>
      <c r="AF6" s="34">
        <v>300000</v>
      </c>
      <c r="AG6" s="34">
        <v>300000</v>
      </c>
      <c r="AH6" s="33">
        <v>0</v>
      </c>
      <c r="AI6" s="33">
        <v>0</v>
      </c>
      <c r="AJ6" s="33"/>
      <c r="AK6">
        <v>0.22</v>
      </c>
      <c r="AL6" s="34">
        <v>300000</v>
      </c>
      <c r="AM6" s="57">
        <v>66000</v>
      </c>
      <c r="AN6">
        <v>366000</v>
      </c>
      <c r="AO6" s="34">
        <v>300000</v>
      </c>
      <c r="AP6" s="57">
        <v>66000</v>
      </c>
      <c r="AQ6">
        <v>366000</v>
      </c>
      <c r="AR6" s="33">
        <v>15</v>
      </c>
      <c r="AS6" s="14" t="s">
        <v>29</v>
      </c>
      <c r="AT6" s="14" t="s">
        <v>35</v>
      </c>
      <c r="AU6" s="44"/>
    </row>
    <row r="7" spans="1:47" ht="144" x14ac:dyDescent="0.3">
      <c r="A7" s="14">
        <v>6</v>
      </c>
      <c r="B7" s="14" t="s">
        <v>491</v>
      </c>
      <c r="C7" s="14" t="s">
        <v>492</v>
      </c>
      <c r="D7" s="14" t="s">
        <v>490</v>
      </c>
      <c r="E7" s="14">
        <v>1</v>
      </c>
      <c r="F7" s="42" t="s">
        <v>493</v>
      </c>
      <c r="G7" s="14">
        <v>102</v>
      </c>
      <c r="H7" s="14">
        <v>1</v>
      </c>
      <c r="I7" s="14" t="s">
        <v>585</v>
      </c>
      <c r="J7" s="14" t="s">
        <v>29</v>
      </c>
      <c r="K7" s="14" t="s">
        <v>661</v>
      </c>
      <c r="L7" s="42" t="s">
        <v>740</v>
      </c>
      <c r="M7" s="42" t="s">
        <v>741</v>
      </c>
      <c r="N7" s="14" t="s">
        <v>268</v>
      </c>
      <c r="O7" s="14" t="s">
        <v>268</v>
      </c>
      <c r="P7" s="43" t="s">
        <v>550</v>
      </c>
      <c r="Q7" s="14" t="s">
        <v>550</v>
      </c>
      <c r="R7" s="14" t="s">
        <v>33</v>
      </c>
      <c r="S7" s="14">
        <v>1</v>
      </c>
      <c r="T7" s="14">
        <v>1</v>
      </c>
      <c r="U7" s="14">
        <v>1</v>
      </c>
      <c r="V7" s="14">
        <v>1</v>
      </c>
      <c r="W7" s="34">
        <v>100000</v>
      </c>
      <c r="X7" s="57">
        <v>0</v>
      </c>
      <c r="Y7" s="34">
        <v>100000</v>
      </c>
      <c r="Z7" s="57">
        <v>100000</v>
      </c>
      <c r="AA7" s="33" t="s">
        <v>491</v>
      </c>
      <c r="AB7" s="42" t="s">
        <v>662</v>
      </c>
      <c r="AC7" t="s">
        <v>658</v>
      </c>
      <c r="AD7" s="33"/>
      <c r="AE7" s="35">
        <v>2.8</v>
      </c>
      <c r="AF7" s="34">
        <v>280000</v>
      </c>
      <c r="AG7" s="34">
        <v>280000</v>
      </c>
      <c r="AH7" s="33">
        <v>0</v>
      </c>
      <c r="AI7" s="33">
        <v>0</v>
      </c>
      <c r="AJ7" s="33"/>
      <c r="AK7">
        <v>0.22</v>
      </c>
      <c r="AL7" s="34">
        <v>280000</v>
      </c>
      <c r="AM7" s="57">
        <v>61600</v>
      </c>
      <c r="AN7">
        <v>341600</v>
      </c>
      <c r="AO7" s="34">
        <v>280000</v>
      </c>
      <c r="AP7" s="57">
        <v>61600</v>
      </c>
      <c r="AQ7">
        <v>341600</v>
      </c>
      <c r="AR7" s="33">
        <v>15</v>
      </c>
      <c r="AS7" s="14" t="s">
        <v>29</v>
      </c>
      <c r="AT7" s="14" t="s">
        <v>35</v>
      </c>
      <c r="AU7" s="44"/>
    </row>
    <row r="8" spans="1:47" ht="172.8" x14ac:dyDescent="0.3">
      <c r="A8" s="14">
        <v>7</v>
      </c>
      <c r="B8" s="14" t="s">
        <v>491</v>
      </c>
      <c r="C8" s="14" t="s">
        <v>492</v>
      </c>
      <c r="D8" s="14" t="s">
        <v>490</v>
      </c>
      <c r="E8" s="14">
        <v>1</v>
      </c>
      <c r="F8" s="42" t="s">
        <v>493</v>
      </c>
      <c r="G8" s="14">
        <v>101</v>
      </c>
      <c r="H8" s="14">
        <v>6</v>
      </c>
      <c r="I8" s="14" t="s">
        <v>586</v>
      </c>
      <c r="J8" s="14" t="s">
        <v>29</v>
      </c>
      <c r="K8" s="14" t="s">
        <v>587</v>
      </c>
      <c r="L8" s="42" t="s">
        <v>730</v>
      </c>
      <c r="M8" s="42" t="s">
        <v>729</v>
      </c>
      <c r="N8" s="14" t="s">
        <v>268</v>
      </c>
      <c r="O8" s="14" t="s">
        <v>268</v>
      </c>
      <c r="P8" s="43" t="s">
        <v>550</v>
      </c>
      <c r="Q8" s="14" t="s">
        <v>550</v>
      </c>
      <c r="R8" s="14" t="s">
        <v>33</v>
      </c>
      <c r="S8" s="14">
        <v>1</v>
      </c>
      <c r="T8" s="14">
        <v>1</v>
      </c>
      <c r="U8" s="14">
        <v>1</v>
      </c>
      <c r="V8" s="14">
        <v>1</v>
      </c>
      <c r="W8" s="34">
        <v>25000</v>
      </c>
      <c r="X8" s="57">
        <v>0</v>
      </c>
      <c r="Y8" s="34">
        <v>25000</v>
      </c>
      <c r="Z8" s="57">
        <v>25000</v>
      </c>
      <c r="AA8" s="33" t="s">
        <v>491</v>
      </c>
      <c r="AB8" s="42" t="s">
        <v>551</v>
      </c>
      <c r="AC8" t="s">
        <v>491</v>
      </c>
      <c r="AD8" s="33"/>
      <c r="AE8" s="35">
        <v>2.5</v>
      </c>
      <c r="AF8" s="34">
        <v>62500</v>
      </c>
      <c r="AG8" s="34">
        <v>62500</v>
      </c>
      <c r="AH8" s="33">
        <v>0</v>
      </c>
      <c r="AI8" s="33">
        <v>0</v>
      </c>
      <c r="AJ8" s="33"/>
      <c r="AK8">
        <v>0.22</v>
      </c>
      <c r="AL8" s="34">
        <v>62500</v>
      </c>
      <c r="AM8" s="57">
        <v>13750</v>
      </c>
      <c r="AN8">
        <v>76250</v>
      </c>
      <c r="AO8" s="34">
        <v>62500</v>
      </c>
      <c r="AP8" s="57">
        <v>13750</v>
      </c>
      <c r="AQ8">
        <v>76250</v>
      </c>
      <c r="AR8" s="33">
        <v>12</v>
      </c>
      <c r="AS8" s="14" t="s">
        <v>29</v>
      </c>
      <c r="AT8" s="14" t="s">
        <v>35</v>
      </c>
      <c r="AU8" s="44"/>
    </row>
    <row r="9" spans="1:47" ht="172.8" x14ac:dyDescent="0.3">
      <c r="A9" s="14">
        <v>8</v>
      </c>
      <c r="B9" s="14" t="s">
        <v>491</v>
      </c>
      <c r="C9" s="14" t="s">
        <v>492</v>
      </c>
      <c r="D9" s="14" t="s">
        <v>490</v>
      </c>
      <c r="E9" s="14">
        <v>1</v>
      </c>
      <c r="F9" s="42" t="s">
        <v>493</v>
      </c>
      <c r="G9" s="14">
        <v>101</v>
      </c>
      <c r="H9" s="14">
        <v>7</v>
      </c>
      <c r="I9" s="14" t="s">
        <v>588</v>
      </c>
      <c r="J9" s="14" t="s">
        <v>29</v>
      </c>
      <c r="K9" s="14" t="s">
        <v>589</v>
      </c>
      <c r="L9" s="42" t="s">
        <v>731</v>
      </c>
      <c r="M9" s="42" t="s">
        <v>727</v>
      </c>
      <c r="N9" s="14" t="s">
        <v>268</v>
      </c>
      <c r="O9" s="14" t="s">
        <v>268</v>
      </c>
      <c r="P9" s="43" t="s">
        <v>550</v>
      </c>
      <c r="Q9" s="14" t="s">
        <v>550</v>
      </c>
      <c r="R9" s="14" t="s">
        <v>33</v>
      </c>
      <c r="S9" s="14">
        <v>1</v>
      </c>
      <c r="T9" s="14">
        <v>1</v>
      </c>
      <c r="U9" s="14">
        <v>1</v>
      </c>
      <c r="V9" s="14">
        <v>1</v>
      </c>
      <c r="W9" s="34">
        <v>25000</v>
      </c>
      <c r="X9" s="57">
        <v>0</v>
      </c>
      <c r="Y9" s="34">
        <v>25000</v>
      </c>
      <c r="Z9" s="57">
        <v>25000</v>
      </c>
      <c r="AA9" s="33" t="s">
        <v>491</v>
      </c>
      <c r="AB9" s="42" t="s">
        <v>551</v>
      </c>
      <c r="AC9" t="s">
        <v>491</v>
      </c>
      <c r="AD9" s="33"/>
      <c r="AE9" s="35">
        <v>3</v>
      </c>
      <c r="AF9" s="34">
        <v>75000</v>
      </c>
      <c r="AG9" s="34">
        <v>75000</v>
      </c>
      <c r="AH9" s="33">
        <v>0</v>
      </c>
      <c r="AI9" s="33">
        <v>0</v>
      </c>
      <c r="AJ9" s="33"/>
      <c r="AK9">
        <v>0.22</v>
      </c>
      <c r="AL9" s="34">
        <v>75000</v>
      </c>
      <c r="AM9" s="57">
        <v>16500</v>
      </c>
      <c r="AN9">
        <v>91500</v>
      </c>
      <c r="AO9" s="34">
        <v>75000</v>
      </c>
      <c r="AP9" s="57">
        <v>16500</v>
      </c>
      <c r="AQ9">
        <v>91500</v>
      </c>
      <c r="AR9" s="33">
        <v>12</v>
      </c>
      <c r="AS9" s="14" t="s">
        <v>29</v>
      </c>
      <c r="AT9" s="14" t="s">
        <v>35</v>
      </c>
      <c r="AU9" s="44" t="s">
        <v>670</v>
      </c>
    </row>
    <row r="10" spans="1:47" ht="144" x14ac:dyDescent="0.3">
      <c r="A10" s="14">
        <v>9</v>
      </c>
      <c r="B10" s="14" t="s">
        <v>491</v>
      </c>
      <c r="C10" s="14" t="s">
        <v>492</v>
      </c>
      <c r="D10" s="14" t="s">
        <v>490</v>
      </c>
      <c r="E10" s="14">
        <v>1</v>
      </c>
      <c r="F10" s="42" t="s">
        <v>493</v>
      </c>
      <c r="G10" s="14">
        <v>103</v>
      </c>
      <c r="H10" s="14">
        <v>1</v>
      </c>
      <c r="I10" s="14" t="s">
        <v>590</v>
      </c>
      <c r="J10" s="14" t="s">
        <v>35</v>
      </c>
      <c r="K10" s="14" t="s">
        <v>591</v>
      </c>
      <c r="L10" s="42" t="s">
        <v>498</v>
      </c>
      <c r="M10" s="42" t="s">
        <v>728</v>
      </c>
      <c r="N10" s="14" t="s">
        <v>268</v>
      </c>
      <c r="O10" s="14" t="s">
        <v>268</v>
      </c>
      <c r="P10" s="43" t="s">
        <v>550</v>
      </c>
      <c r="Q10" s="14" t="s">
        <v>550</v>
      </c>
      <c r="R10" s="14" t="s">
        <v>33</v>
      </c>
      <c r="S10" s="14">
        <v>1</v>
      </c>
      <c r="T10" s="14">
        <v>1</v>
      </c>
      <c r="U10" s="14">
        <v>1</v>
      </c>
      <c r="V10" s="14">
        <v>1</v>
      </c>
      <c r="W10" s="34">
        <v>100000</v>
      </c>
      <c r="X10" s="57">
        <v>0</v>
      </c>
      <c r="Y10" s="34">
        <v>100000</v>
      </c>
      <c r="Z10" s="57">
        <v>100000</v>
      </c>
      <c r="AA10" s="33" t="s">
        <v>491</v>
      </c>
      <c r="AB10" s="42" t="s">
        <v>551</v>
      </c>
      <c r="AC10" t="s">
        <v>491</v>
      </c>
      <c r="AD10" s="33"/>
      <c r="AE10" s="35">
        <v>1</v>
      </c>
      <c r="AF10" s="34">
        <v>100000</v>
      </c>
      <c r="AG10" s="34">
        <v>100000</v>
      </c>
      <c r="AH10" s="33">
        <v>0</v>
      </c>
      <c r="AI10" s="33">
        <v>0</v>
      </c>
      <c r="AJ10" s="33"/>
      <c r="AK10">
        <v>0.22</v>
      </c>
      <c r="AL10" s="34">
        <v>100000</v>
      </c>
      <c r="AM10" s="57">
        <v>22000</v>
      </c>
      <c r="AN10">
        <v>122000</v>
      </c>
      <c r="AO10" s="34">
        <v>100000</v>
      </c>
      <c r="AP10" s="57">
        <v>22000</v>
      </c>
      <c r="AQ10">
        <v>122000</v>
      </c>
      <c r="AR10" s="33">
        <v>45</v>
      </c>
      <c r="AS10" s="14" t="s">
        <v>29</v>
      </c>
      <c r="AT10" s="14" t="s">
        <v>35</v>
      </c>
      <c r="AU10" s="44"/>
    </row>
    <row r="11" spans="1:47" ht="86.4" x14ac:dyDescent="0.3">
      <c r="A11" s="14">
        <v>10</v>
      </c>
      <c r="B11" s="14"/>
      <c r="C11" s="14" t="s">
        <v>536</v>
      </c>
      <c r="D11" s="14" t="s">
        <v>71</v>
      </c>
      <c r="E11" s="14">
        <v>1</v>
      </c>
      <c r="F11" s="42" t="s">
        <v>557</v>
      </c>
      <c r="G11" s="14">
        <v>101</v>
      </c>
      <c r="H11" s="14">
        <v>1</v>
      </c>
      <c r="I11" s="14" t="s">
        <v>592</v>
      </c>
      <c r="J11" s="14" t="s">
        <v>29</v>
      </c>
      <c r="K11" s="14" t="s">
        <v>593</v>
      </c>
      <c r="L11" s="42" t="s">
        <v>567</v>
      </c>
      <c r="M11" s="42" t="s">
        <v>743</v>
      </c>
      <c r="N11" s="14" t="s">
        <v>268</v>
      </c>
      <c r="O11" s="14" t="s">
        <v>268</v>
      </c>
      <c r="P11" s="43" t="s">
        <v>550</v>
      </c>
      <c r="Q11" s="14" t="s">
        <v>550</v>
      </c>
      <c r="R11" s="14" t="s">
        <v>33</v>
      </c>
      <c r="S11" s="14">
        <v>1</v>
      </c>
      <c r="T11" s="14">
        <v>1</v>
      </c>
      <c r="U11" s="14">
        <v>1</v>
      </c>
      <c r="V11" s="14">
        <v>1</v>
      </c>
      <c r="W11" s="34">
        <v>100000</v>
      </c>
      <c r="X11" s="57">
        <v>0</v>
      </c>
      <c r="Y11" s="34">
        <v>100000</v>
      </c>
      <c r="Z11" s="57">
        <v>100000</v>
      </c>
      <c r="AA11" s="33"/>
      <c r="AB11" s="42" t="s">
        <v>653</v>
      </c>
      <c r="AD11" s="33"/>
      <c r="AE11" s="35">
        <v>1.5</v>
      </c>
      <c r="AF11" s="34">
        <v>150000</v>
      </c>
      <c r="AG11" s="34">
        <v>150000</v>
      </c>
      <c r="AH11" s="33">
        <v>0</v>
      </c>
      <c r="AI11" s="33">
        <v>0</v>
      </c>
      <c r="AJ11" s="33"/>
      <c r="AK11">
        <v>0.22</v>
      </c>
      <c r="AL11" s="34">
        <v>150000</v>
      </c>
      <c r="AM11" s="57">
        <v>33000</v>
      </c>
      <c r="AN11">
        <v>183000</v>
      </c>
      <c r="AO11" s="34">
        <v>150000</v>
      </c>
      <c r="AP11" s="57">
        <v>33000</v>
      </c>
      <c r="AQ11">
        <v>183000</v>
      </c>
      <c r="AR11" s="33">
        <v>14</v>
      </c>
      <c r="AS11" s="14" t="s">
        <v>29</v>
      </c>
      <c r="AT11" s="14" t="s">
        <v>35</v>
      </c>
      <c r="AU11" s="44"/>
    </row>
    <row r="12" spans="1:47" ht="86.4" x14ac:dyDescent="0.3">
      <c r="A12" s="14">
        <v>11</v>
      </c>
      <c r="B12" s="14"/>
      <c r="C12" s="14" t="s">
        <v>536</v>
      </c>
      <c r="D12" s="14" t="s">
        <v>71</v>
      </c>
      <c r="E12" s="14">
        <v>1</v>
      </c>
      <c r="F12" s="42" t="s">
        <v>560</v>
      </c>
      <c r="G12" s="14">
        <v>101</v>
      </c>
      <c r="H12" s="14">
        <v>2</v>
      </c>
      <c r="I12" s="14" t="s">
        <v>594</v>
      </c>
      <c r="J12" s="14" t="s">
        <v>29</v>
      </c>
      <c r="K12" s="14" t="s">
        <v>595</v>
      </c>
      <c r="L12" s="42" t="s">
        <v>568</v>
      </c>
      <c r="M12" s="42" t="s">
        <v>574</v>
      </c>
      <c r="N12" s="14" t="s">
        <v>268</v>
      </c>
      <c r="O12" s="14" t="s">
        <v>268</v>
      </c>
      <c r="P12" s="43" t="s">
        <v>550</v>
      </c>
      <c r="Q12" s="14" t="s">
        <v>550</v>
      </c>
      <c r="R12" s="14" t="s">
        <v>33</v>
      </c>
      <c r="S12" s="14">
        <v>1</v>
      </c>
      <c r="T12" s="14">
        <v>1</v>
      </c>
      <c r="U12" s="14">
        <v>1</v>
      </c>
      <c r="V12" s="14">
        <v>1</v>
      </c>
      <c r="W12" s="34">
        <v>20000</v>
      </c>
      <c r="X12" s="57">
        <v>0</v>
      </c>
      <c r="Y12" s="34">
        <v>20000</v>
      </c>
      <c r="Z12" s="57">
        <v>20000</v>
      </c>
      <c r="AA12" s="33"/>
      <c r="AB12" s="42" t="s">
        <v>653</v>
      </c>
      <c r="AD12" s="33"/>
      <c r="AE12" s="35">
        <v>1.5</v>
      </c>
      <c r="AF12" s="34">
        <v>30000</v>
      </c>
      <c r="AG12" s="34">
        <v>30000</v>
      </c>
      <c r="AH12" s="33">
        <v>0</v>
      </c>
      <c r="AI12" s="33">
        <v>0</v>
      </c>
      <c r="AJ12" s="33"/>
      <c r="AK12">
        <v>0.22</v>
      </c>
      <c r="AL12" s="34">
        <v>30000</v>
      </c>
      <c r="AM12" s="57">
        <v>6600</v>
      </c>
      <c r="AN12">
        <v>36600</v>
      </c>
      <c r="AO12" s="34">
        <v>30000</v>
      </c>
      <c r="AP12" s="57">
        <v>6600</v>
      </c>
      <c r="AQ12">
        <v>36600</v>
      </c>
      <c r="AR12" s="33">
        <v>7</v>
      </c>
      <c r="AS12" s="14" t="s">
        <v>29</v>
      </c>
      <c r="AT12" s="14" t="s">
        <v>35</v>
      </c>
      <c r="AU12" s="44"/>
    </row>
    <row r="13" spans="1:47" ht="72" x14ac:dyDescent="0.3">
      <c r="A13" s="14">
        <v>12</v>
      </c>
      <c r="B13" s="14"/>
      <c r="C13" s="14" t="s">
        <v>536</v>
      </c>
      <c r="D13" s="14" t="s">
        <v>71</v>
      </c>
      <c r="E13" s="14">
        <v>1</v>
      </c>
      <c r="F13" s="42" t="s">
        <v>557</v>
      </c>
      <c r="G13" s="14">
        <v>101</v>
      </c>
      <c r="H13" s="14">
        <v>3</v>
      </c>
      <c r="I13" s="14" t="s">
        <v>596</v>
      </c>
      <c r="J13" s="14" t="s">
        <v>29</v>
      </c>
      <c r="K13" s="14" t="s">
        <v>597</v>
      </c>
      <c r="L13" s="42" t="s">
        <v>569</v>
      </c>
      <c r="M13" s="42" t="s">
        <v>566</v>
      </c>
      <c r="N13" s="14" t="s">
        <v>268</v>
      </c>
      <c r="O13" s="14" t="s">
        <v>268</v>
      </c>
      <c r="P13" s="43" t="s">
        <v>550</v>
      </c>
      <c r="Q13" s="14" t="s">
        <v>550</v>
      </c>
      <c r="R13" s="14" t="s">
        <v>33</v>
      </c>
      <c r="S13" s="14">
        <v>1</v>
      </c>
      <c r="T13" s="14">
        <v>1</v>
      </c>
      <c r="U13" s="14">
        <v>1</v>
      </c>
      <c r="V13" s="14">
        <v>1</v>
      </c>
      <c r="W13" s="34">
        <v>20000</v>
      </c>
      <c r="X13" s="57">
        <v>0</v>
      </c>
      <c r="Y13" s="34">
        <v>20000</v>
      </c>
      <c r="Z13" s="57">
        <v>20000</v>
      </c>
      <c r="AA13" s="33"/>
      <c r="AB13" s="42" t="s">
        <v>653</v>
      </c>
      <c r="AD13" s="33"/>
      <c r="AE13" s="35">
        <v>1.5</v>
      </c>
      <c r="AF13" s="34">
        <v>30000</v>
      </c>
      <c r="AG13" s="34">
        <v>30000</v>
      </c>
      <c r="AH13" s="33">
        <v>0</v>
      </c>
      <c r="AI13" s="33">
        <v>0</v>
      </c>
      <c r="AJ13" s="33"/>
      <c r="AK13">
        <v>0.22</v>
      </c>
      <c r="AL13" s="34">
        <v>30000</v>
      </c>
      <c r="AM13" s="57">
        <v>6600</v>
      </c>
      <c r="AN13">
        <v>36600</v>
      </c>
      <c r="AO13" s="34">
        <v>30000</v>
      </c>
      <c r="AP13" s="57">
        <v>6600</v>
      </c>
      <c r="AQ13">
        <v>36600</v>
      </c>
      <c r="AR13" s="33">
        <v>7</v>
      </c>
      <c r="AS13" s="14" t="s">
        <v>29</v>
      </c>
      <c r="AT13" s="14" t="s">
        <v>35</v>
      </c>
      <c r="AU13" s="44"/>
    </row>
    <row r="14" spans="1:47" ht="72" x14ac:dyDescent="0.3">
      <c r="A14" s="14">
        <v>13</v>
      </c>
      <c r="B14" s="14"/>
      <c r="C14" s="14" t="s">
        <v>536</v>
      </c>
      <c r="D14" s="14" t="s">
        <v>71</v>
      </c>
      <c r="E14" s="14">
        <v>1</v>
      </c>
      <c r="F14" s="42" t="s">
        <v>561</v>
      </c>
      <c r="G14" s="14">
        <v>102</v>
      </c>
      <c r="H14" s="14">
        <v>1</v>
      </c>
      <c r="I14" s="14" t="s">
        <v>598</v>
      </c>
      <c r="J14" s="14" t="s">
        <v>29</v>
      </c>
      <c r="K14" s="14" t="s">
        <v>599</v>
      </c>
      <c r="L14" s="42" t="s">
        <v>571</v>
      </c>
      <c r="M14" s="42" t="s">
        <v>563</v>
      </c>
      <c r="N14" s="14" t="s">
        <v>268</v>
      </c>
      <c r="O14" s="14" t="s">
        <v>268</v>
      </c>
      <c r="P14" s="43" t="s">
        <v>558</v>
      </c>
      <c r="Q14" s="14" t="s">
        <v>558</v>
      </c>
      <c r="R14" s="14" t="s">
        <v>33</v>
      </c>
      <c r="S14" s="14">
        <v>1</v>
      </c>
      <c r="T14" s="14">
        <v>1</v>
      </c>
      <c r="U14" s="14">
        <v>1</v>
      </c>
      <c r="V14" s="14">
        <v>1</v>
      </c>
      <c r="W14" s="34">
        <v>800000</v>
      </c>
      <c r="X14" s="57">
        <v>0</v>
      </c>
      <c r="Y14" s="34">
        <v>800000</v>
      </c>
      <c r="Z14" s="57">
        <v>800000</v>
      </c>
      <c r="AA14" s="33"/>
      <c r="AB14" s="42" t="s">
        <v>654</v>
      </c>
      <c r="AD14" s="33"/>
      <c r="AE14" s="35">
        <v>3</v>
      </c>
      <c r="AF14" s="34">
        <v>2400000</v>
      </c>
      <c r="AG14" s="34">
        <v>2400000</v>
      </c>
      <c r="AH14" s="33">
        <v>0</v>
      </c>
      <c r="AI14" s="33">
        <v>0</v>
      </c>
      <c r="AJ14" s="33"/>
      <c r="AK14">
        <v>0.22</v>
      </c>
      <c r="AL14" s="34">
        <v>2400000</v>
      </c>
      <c r="AM14" s="57">
        <v>528000</v>
      </c>
      <c r="AN14">
        <v>2928000</v>
      </c>
      <c r="AO14" s="34">
        <v>2400000</v>
      </c>
      <c r="AP14" s="57">
        <v>528000</v>
      </c>
      <c r="AQ14">
        <v>2928000</v>
      </c>
      <c r="AR14" s="33">
        <v>80</v>
      </c>
      <c r="AS14" s="14" t="s">
        <v>29</v>
      </c>
      <c r="AT14" s="14" t="s">
        <v>35</v>
      </c>
      <c r="AU14" s="44"/>
    </row>
    <row r="15" spans="1:47" ht="115.2" x14ac:dyDescent="0.3">
      <c r="A15" s="14">
        <v>14</v>
      </c>
      <c r="B15" s="14"/>
      <c r="C15" s="14" t="s">
        <v>536</v>
      </c>
      <c r="D15" s="14" t="s">
        <v>71</v>
      </c>
      <c r="E15" s="14">
        <v>1</v>
      </c>
      <c r="F15" s="42" t="s">
        <v>562</v>
      </c>
      <c r="G15" s="14">
        <v>103</v>
      </c>
      <c r="H15" s="14">
        <v>1</v>
      </c>
      <c r="I15" s="14" t="s">
        <v>600</v>
      </c>
      <c r="J15" s="14" t="s">
        <v>29</v>
      </c>
      <c r="K15" s="14" t="s">
        <v>601</v>
      </c>
      <c r="L15" s="42" t="s">
        <v>570</v>
      </c>
      <c r="M15" s="42" t="s">
        <v>564</v>
      </c>
      <c r="N15" s="14" t="s">
        <v>268</v>
      </c>
      <c r="O15" s="14" t="s">
        <v>268</v>
      </c>
      <c r="P15" s="43" t="s">
        <v>559</v>
      </c>
      <c r="Q15" s="14" t="s">
        <v>559</v>
      </c>
      <c r="R15" s="14" t="s">
        <v>33</v>
      </c>
      <c r="S15" s="14">
        <v>1</v>
      </c>
      <c r="T15" s="14">
        <v>1</v>
      </c>
      <c r="U15" s="14">
        <v>1</v>
      </c>
      <c r="V15" s="14">
        <v>1</v>
      </c>
      <c r="W15" s="34">
        <v>300000</v>
      </c>
      <c r="X15" s="57">
        <v>0</v>
      </c>
      <c r="Y15" s="34">
        <v>300000</v>
      </c>
      <c r="Z15" s="57">
        <v>300000</v>
      </c>
      <c r="AA15" s="33"/>
      <c r="AB15" s="42" t="s">
        <v>655</v>
      </c>
      <c r="AD15" s="33"/>
      <c r="AE15" s="35">
        <v>1.1666666666666667</v>
      </c>
      <c r="AF15" s="34">
        <v>350000</v>
      </c>
      <c r="AG15" s="34">
        <v>350000</v>
      </c>
      <c r="AH15" s="33">
        <v>0</v>
      </c>
      <c r="AI15" s="33">
        <v>0</v>
      </c>
      <c r="AJ15" s="33"/>
      <c r="AK15">
        <v>0.22</v>
      </c>
      <c r="AL15" s="34">
        <v>350000</v>
      </c>
      <c r="AM15" s="57">
        <v>77000</v>
      </c>
      <c r="AN15">
        <v>427000</v>
      </c>
      <c r="AO15" s="34">
        <v>350000</v>
      </c>
      <c r="AP15" s="57">
        <v>77000</v>
      </c>
      <c r="AQ15">
        <v>427000</v>
      </c>
      <c r="AR15" s="33">
        <v>14</v>
      </c>
      <c r="AS15" s="14" t="s">
        <v>29</v>
      </c>
      <c r="AT15" s="14" t="s">
        <v>35</v>
      </c>
      <c r="AU15" s="44" t="s">
        <v>657</v>
      </c>
    </row>
    <row r="16" spans="1:47" ht="86.4" x14ac:dyDescent="0.3">
      <c r="A16" s="14">
        <v>15</v>
      </c>
      <c r="B16" s="14"/>
      <c r="C16" s="14" t="s">
        <v>565</v>
      </c>
      <c r="D16" s="14" t="s">
        <v>70</v>
      </c>
      <c r="E16" s="14">
        <v>1</v>
      </c>
      <c r="F16" s="42" t="s">
        <v>557</v>
      </c>
      <c r="G16" s="14">
        <v>101</v>
      </c>
      <c r="H16" s="14">
        <v>1</v>
      </c>
      <c r="I16" s="14" t="s">
        <v>602</v>
      </c>
      <c r="J16" s="14" t="s">
        <v>35</v>
      </c>
      <c r="K16" s="14" t="s">
        <v>770</v>
      </c>
      <c r="L16" s="42" t="s">
        <v>671</v>
      </c>
      <c r="M16" s="42" t="s">
        <v>572</v>
      </c>
      <c r="N16" s="14" t="s">
        <v>268</v>
      </c>
      <c r="O16" s="14" t="s">
        <v>268</v>
      </c>
      <c r="P16" s="43" t="s">
        <v>550</v>
      </c>
      <c r="Q16" s="14" t="s">
        <v>550</v>
      </c>
      <c r="R16" s="14" t="s">
        <v>33</v>
      </c>
      <c r="S16" s="14">
        <v>1</v>
      </c>
      <c r="T16" s="14">
        <v>1</v>
      </c>
      <c r="U16" s="14">
        <v>1</v>
      </c>
      <c r="V16" s="14">
        <v>1</v>
      </c>
      <c r="W16" s="34">
        <v>100000</v>
      </c>
      <c r="X16" s="57">
        <v>0</v>
      </c>
      <c r="Y16" s="34">
        <v>100000</v>
      </c>
      <c r="Z16" s="57">
        <v>100000</v>
      </c>
      <c r="AA16" s="33"/>
      <c r="AB16" s="42" t="s">
        <v>744</v>
      </c>
      <c r="AD16" s="33"/>
      <c r="AE16" s="35">
        <v>1.5</v>
      </c>
      <c r="AF16" s="34">
        <v>150000</v>
      </c>
      <c r="AG16" s="34">
        <v>150000</v>
      </c>
      <c r="AH16" s="33">
        <v>0</v>
      </c>
      <c r="AI16" s="33">
        <v>0</v>
      </c>
      <c r="AJ16" s="33"/>
      <c r="AK16">
        <v>0.22</v>
      </c>
      <c r="AL16" s="34">
        <v>150000</v>
      </c>
      <c r="AM16" s="57">
        <v>33000</v>
      </c>
      <c r="AN16">
        <v>183000</v>
      </c>
      <c r="AO16" s="34">
        <v>150000</v>
      </c>
      <c r="AP16" s="57">
        <v>33000</v>
      </c>
      <c r="AQ16">
        <v>183000</v>
      </c>
      <c r="AR16" s="33">
        <v>14</v>
      </c>
      <c r="AS16" s="14" t="s">
        <v>35</v>
      </c>
      <c r="AT16" s="14" t="s">
        <v>35</v>
      </c>
      <c r="AU16" s="44"/>
    </row>
    <row r="17" spans="1:47" ht="86.4" x14ac:dyDescent="0.3">
      <c r="A17" s="14">
        <v>16</v>
      </c>
      <c r="B17" s="14"/>
      <c r="C17" s="14" t="s">
        <v>565</v>
      </c>
      <c r="D17" s="14" t="s">
        <v>70</v>
      </c>
      <c r="E17" s="14">
        <v>1</v>
      </c>
      <c r="F17" s="42" t="s">
        <v>560</v>
      </c>
      <c r="G17" s="14">
        <v>101</v>
      </c>
      <c r="H17" s="14">
        <v>2</v>
      </c>
      <c r="I17" s="14" t="s">
        <v>603</v>
      </c>
      <c r="J17" s="14" t="s">
        <v>35</v>
      </c>
      <c r="K17" s="14" t="s">
        <v>771</v>
      </c>
      <c r="L17" s="42" t="s">
        <v>672</v>
      </c>
      <c r="M17" s="42" t="s">
        <v>573</v>
      </c>
      <c r="N17" s="14" t="s">
        <v>268</v>
      </c>
      <c r="O17" s="14" t="s">
        <v>268</v>
      </c>
      <c r="P17" s="43" t="s">
        <v>550</v>
      </c>
      <c r="Q17" s="14" t="s">
        <v>550</v>
      </c>
      <c r="R17" s="14" t="s">
        <v>33</v>
      </c>
      <c r="S17" s="14">
        <v>1</v>
      </c>
      <c r="T17" s="14">
        <v>1</v>
      </c>
      <c r="U17" s="14">
        <v>1</v>
      </c>
      <c r="V17" s="14">
        <v>1</v>
      </c>
      <c r="W17" s="34">
        <v>20000</v>
      </c>
      <c r="X17" s="57">
        <v>0</v>
      </c>
      <c r="Y17" s="34">
        <v>20000</v>
      </c>
      <c r="Z17" s="57">
        <v>20000</v>
      </c>
      <c r="AA17" s="33"/>
      <c r="AB17" s="42" t="s">
        <v>744</v>
      </c>
      <c r="AD17" s="33"/>
      <c r="AE17" s="35">
        <v>1.5</v>
      </c>
      <c r="AF17" s="34">
        <v>30000</v>
      </c>
      <c r="AG17" s="34">
        <v>30000</v>
      </c>
      <c r="AH17" s="33">
        <v>0</v>
      </c>
      <c r="AI17" s="33">
        <v>0</v>
      </c>
      <c r="AJ17" s="33"/>
      <c r="AK17">
        <v>0.22</v>
      </c>
      <c r="AL17" s="34">
        <v>30000</v>
      </c>
      <c r="AM17" s="57">
        <v>6600</v>
      </c>
      <c r="AN17">
        <v>36600</v>
      </c>
      <c r="AO17" s="34">
        <v>30000</v>
      </c>
      <c r="AP17" s="57">
        <v>6600</v>
      </c>
      <c r="AQ17">
        <v>36600</v>
      </c>
      <c r="AR17" s="33">
        <v>7</v>
      </c>
      <c r="AS17" s="14" t="s">
        <v>35</v>
      </c>
      <c r="AT17" s="14" t="s">
        <v>35</v>
      </c>
      <c r="AU17" s="44"/>
    </row>
    <row r="18" spans="1:47" ht="72" x14ac:dyDescent="0.3">
      <c r="A18" s="14">
        <v>17</v>
      </c>
      <c r="B18" s="14"/>
      <c r="C18" s="14" t="s">
        <v>565</v>
      </c>
      <c r="D18" s="14" t="s">
        <v>70</v>
      </c>
      <c r="E18" s="14">
        <v>1</v>
      </c>
      <c r="F18" s="42" t="s">
        <v>557</v>
      </c>
      <c r="G18" s="14">
        <v>101</v>
      </c>
      <c r="H18" s="14">
        <v>3</v>
      </c>
      <c r="I18" s="14" t="s">
        <v>604</v>
      </c>
      <c r="J18" s="14" t="s">
        <v>35</v>
      </c>
      <c r="K18" s="14" t="s">
        <v>772</v>
      </c>
      <c r="L18" s="42" t="s">
        <v>673</v>
      </c>
      <c r="M18" s="42" t="s">
        <v>566</v>
      </c>
      <c r="N18" s="14" t="s">
        <v>268</v>
      </c>
      <c r="O18" s="14" t="s">
        <v>268</v>
      </c>
      <c r="P18" s="43" t="s">
        <v>550</v>
      </c>
      <c r="Q18" s="14" t="s">
        <v>550</v>
      </c>
      <c r="R18" s="14" t="s">
        <v>33</v>
      </c>
      <c r="S18" s="14">
        <v>1</v>
      </c>
      <c r="T18" s="14">
        <v>1</v>
      </c>
      <c r="U18" s="14">
        <v>1</v>
      </c>
      <c r="V18" s="14">
        <v>1</v>
      </c>
      <c r="W18" s="34">
        <v>20000</v>
      </c>
      <c r="X18" s="57">
        <v>0</v>
      </c>
      <c r="Y18" s="34">
        <v>20000</v>
      </c>
      <c r="Z18" s="57">
        <v>20000</v>
      </c>
      <c r="AA18" s="33"/>
      <c r="AB18" s="42" t="s">
        <v>744</v>
      </c>
      <c r="AD18" s="33"/>
      <c r="AE18" s="35">
        <v>1.5</v>
      </c>
      <c r="AF18" s="34">
        <v>30000</v>
      </c>
      <c r="AG18" s="34">
        <v>30000</v>
      </c>
      <c r="AH18" s="33">
        <v>0</v>
      </c>
      <c r="AI18" s="33">
        <v>0</v>
      </c>
      <c r="AJ18" s="33"/>
      <c r="AK18">
        <v>0.22</v>
      </c>
      <c r="AL18" s="34">
        <v>30000</v>
      </c>
      <c r="AM18" s="57">
        <v>6600</v>
      </c>
      <c r="AN18">
        <v>36600</v>
      </c>
      <c r="AO18" s="34">
        <v>30000</v>
      </c>
      <c r="AP18" s="57">
        <v>6600</v>
      </c>
      <c r="AQ18">
        <v>36600</v>
      </c>
      <c r="AR18" s="33">
        <v>7</v>
      </c>
      <c r="AS18" s="14" t="s">
        <v>35</v>
      </c>
      <c r="AT18" s="14" t="s">
        <v>35</v>
      </c>
      <c r="AU18" s="44"/>
    </row>
    <row r="19" spans="1:47" ht="115.2" x14ac:dyDescent="0.3">
      <c r="A19" s="14">
        <v>18</v>
      </c>
      <c r="B19" s="14"/>
      <c r="C19" s="14" t="s">
        <v>565</v>
      </c>
      <c r="D19" s="14" t="s">
        <v>70</v>
      </c>
      <c r="E19" s="14">
        <v>1</v>
      </c>
      <c r="F19" s="42" t="s">
        <v>561</v>
      </c>
      <c r="G19" s="14">
        <v>102</v>
      </c>
      <c r="H19" s="14">
        <v>1</v>
      </c>
      <c r="I19" s="14" t="s">
        <v>605</v>
      </c>
      <c r="J19" s="14" t="s">
        <v>35</v>
      </c>
      <c r="K19" s="14" t="s">
        <v>773</v>
      </c>
      <c r="L19" s="42" t="s">
        <v>674</v>
      </c>
      <c r="M19" s="42" t="s">
        <v>563</v>
      </c>
      <c r="N19" s="14" t="s">
        <v>268</v>
      </c>
      <c r="O19" s="14" t="s">
        <v>268</v>
      </c>
      <c r="P19" s="43" t="s">
        <v>550</v>
      </c>
      <c r="Q19" s="14" t="s">
        <v>550</v>
      </c>
      <c r="R19" s="14" t="s">
        <v>33</v>
      </c>
      <c r="S19" s="14">
        <v>1</v>
      </c>
      <c r="T19" s="14">
        <v>1</v>
      </c>
      <c r="U19" s="14">
        <v>1</v>
      </c>
      <c r="V19" s="14">
        <v>1</v>
      </c>
      <c r="W19" s="34">
        <v>800000</v>
      </c>
      <c r="X19" s="57">
        <v>0</v>
      </c>
      <c r="Y19" s="34">
        <v>800000</v>
      </c>
      <c r="Z19" s="57">
        <v>800000</v>
      </c>
      <c r="AA19" s="33"/>
      <c r="AB19" s="42" t="s">
        <v>745</v>
      </c>
      <c r="AD19" s="33"/>
      <c r="AE19" s="35">
        <v>3.2</v>
      </c>
      <c r="AF19" s="34">
        <v>2560000</v>
      </c>
      <c r="AG19" s="34">
        <v>2560000</v>
      </c>
      <c r="AH19" s="33">
        <v>0</v>
      </c>
      <c r="AI19" s="33">
        <v>0</v>
      </c>
      <c r="AJ19" s="33"/>
      <c r="AK19">
        <v>0.22</v>
      </c>
      <c r="AL19" s="34">
        <v>2560000</v>
      </c>
      <c r="AM19" s="57">
        <v>563200</v>
      </c>
      <c r="AN19">
        <v>3123200</v>
      </c>
      <c r="AO19" s="34">
        <v>2560000</v>
      </c>
      <c r="AP19" s="57">
        <v>563200</v>
      </c>
      <c r="AQ19">
        <v>3123200</v>
      </c>
      <c r="AR19" s="33">
        <v>108</v>
      </c>
      <c r="AS19" s="14" t="s">
        <v>35</v>
      </c>
      <c r="AT19" s="14" t="s">
        <v>35</v>
      </c>
      <c r="AU19" s="44"/>
    </row>
    <row r="20" spans="1:47" ht="115.2" x14ac:dyDescent="0.3">
      <c r="A20" s="14">
        <v>19</v>
      </c>
      <c r="B20" s="14"/>
      <c r="C20" s="14" t="s">
        <v>565</v>
      </c>
      <c r="D20" s="14" t="s">
        <v>70</v>
      </c>
      <c r="E20" s="14">
        <v>1</v>
      </c>
      <c r="F20" s="42" t="s">
        <v>562</v>
      </c>
      <c r="G20" s="14">
        <v>103</v>
      </c>
      <c r="H20" s="14">
        <v>1</v>
      </c>
      <c r="I20" s="14" t="s">
        <v>606</v>
      </c>
      <c r="J20" s="14" t="s">
        <v>35</v>
      </c>
      <c r="K20" s="14" t="s">
        <v>774</v>
      </c>
      <c r="L20" s="42" t="s">
        <v>675</v>
      </c>
      <c r="M20" s="42" t="s">
        <v>564</v>
      </c>
      <c r="N20" s="14" t="s">
        <v>268</v>
      </c>
      <c r="O20" s="14" t="s">
        <v>268</v>
      </c>
      <c r="P20" s="43" t="s">
        <v>550</v>
      </c>
      <c r="Q20" s="14" t="s">
        <v>550</v>
      </c>
      <c r="R20" s="14" t="s">
        <v>33</v>
      </c>
      <c r="S20" s="14">
        <v>1</v>
      </c>
      <c r="T20" s="14">
        <v>1</v>
      </c>
      <c r="U20" s="14">
        <v>1</v>
      </c>
      <c r="V20" s="14">
        <v>1</v>
      </c>
      <c r="W20" s="34">
        <v>300000</v>
      </c>
      <c r="X20" s="57">
        <v>0</v>
      </c>
      <c r="Y20" s="34">
        <v>300000</v>
      </c>
      <c r="Z20" s="57">
        <v>300000</v>
      </c>
      <c r="AA20" s="33"/>
      <c r="AB20" s="42" t="s">
        <v>746</v>
      </c>
      <c r="AD20" s="33"/>
      <c r="AE20" s="35">
        <v>1.17</v>
      </c>
      <c r="AF20" s="34">
        <v>351000</v>
      </c>
      <c r="AG20" s="34">
        <v>351000</v>
      </c>
      <c r="AH20" s="33">
        <v>0</v>
      </c>
      <c r="AI20" s="33">
        <v>0</v>
      </c>
      <c r="AJ20" s="33"/>
      <c r="AK20">
        <v>0.22</v>
      </c>
      <c r="AL20" s="34">
        <v>351000</v>
      </c>
      <c r="AM20" s="57">
        <v>77220</v>
      </c>
      <c r="AN20">
        <v>428220</v>
      </c>
      <c r="AO20" s="34">
        <v>351000</v>
      </c>
      <c r="AP20" s="57">
        <v>77220</v>
      </c>
      <c r="AQ20">
        <v>428220</v>
      </c>
      <c r="AR20" s="33">
        <v>14</v>
      </c>
      <c r="AS20" s="14" t="s">
        <v>35</v>
      </c>
      <c r="AT20" s="14" t="s">
        <v>35</v>
      </c>
      <c r="AU20" s="44" t="s">
        <v>663</v>
      </c>
    </row>
    <row r="21" spans="1:47" ht="86.4" x14ac:dyDescent="0.3">
      <c r="A21" s="14">
        <v>20</v>
      </c>
      <c r="B21" s="14"/>
      <c r="C21" s="14" t="s">
        <v>565</v>
      </c>
      <c r="D21" s="14" t="s">
        <v>70</v>
      </c>
      <c r="E21" s="14">
        <v>1</v>
      </c>
      <c r="F21" s="42" t="s">
        <v>557</v>
      </c>
      <c r="G21" s="14">
        <v>201</v>
      </c>
      <c r="H21" s="14">
        <v>1</v>
      </c>
      <c r="I21" s="14" t="s">
        <v>607</v>
      </c>
      <c r="J21" s="14" t="s">
        <v>29</v>
      </c>
      <c r="K21" s="14" t="s">
        <v>608</v>
      </c>
      <c r="L21" s="42" t="s">
        <v>676</v>
      </c>
      <c r="M21" s="42" t="s">
        <v>572</v>
      </c>
      <c r="N21" s="14" t="s">
        <v>268</v>
      </c>
      <c r="O21" s="14" t="s">
        <v>268</v>
      </c>
      <c r="P21" s="43" t="s">
        <v>550</v>
      </c>
      <c r="Q21" s="14" t="s">
        <v>550</v>
      </c>
      <c r="R21" s="14" t="s">
        <v>33</v>
      </c>
      <c r="S21" s="14">
        <v>1</v>
      </c>
      <c r="T21" s="14">
        <v>1</v>
      </c>
      <c r="U21" s="14">
        <v>1</v>
      </c>
      <c r="V21" s="14">
        <v>1</v>
      </c>
      <c r="W21" s="34">
        <v>100000</v>
      </c>
      <c r="X21" s="57">
        <v>0</v>
      </c>
      <c r="Y21" s="34">
        <v>100000</v>
      </c>
      <c r="Z21" s="57">
        <v>100000</v>
      </c>
      <c r="AA21" s="33"/>
      <c r="AB21" s="42" t="s">
        <v>653</v>
      </c>
      <c r="AD21" s="33"/>
      <c r="AE21" s="35">
        <v>1.5</v>
      </c>
      <c r="AF21" s="34">
        <v>150000</v>
      </c>
      <c r="AG21" s="34">
        <v>150000</v>
      </c>
      <c r="AH21" s="33">
        <v>0</v>
      </c>
      <c r="AI21" s="33">
        <v>0</v>
      </c>
      <c r="AJ21" s="33"/>
      <c r="AK21">
        <v>0.22</v>
      </c>
      <c r="AL21" s="34">
        <v>150000</v>
      </c>
      <c r="AM21" s="57">
        <v>33000</v>
      </c>
      <c r="AN21">
        <v>183000</v>
      </c>
      <c r="AO21" s="34">
        <v>150000</v>
      </c>
      <c r="AP21" s="57">
        <v>33000</v>
      </c>
      <c r="AQ21">
        <v>183000</v>
      </c>
      <c r="AR21" s="33">
        <v>14</v>
      </c>
      <c r="AS21" s="14" t="s">
        <v>29</v>
      </c>
      <c r="AT21" s="14" t="s">
        <v>35</v>
      </c>
      <c r="AU21" s="44"/>
    </row>
    <row r="22" spans="1:47" ht="86.4" x14ac:dyDescent="0.3">
      <c r="A22" s="14">
        <v>21</v>
      </c>
      <c r="B22" s="14"/>
      <c r="C22" s="14" t="s">
        <v>565</v>
      </c>
      <c r="D22" s="14" t="s">
        <v>70</v>
      </c>
      <c r="E22" s="14">
        <v>1</v>
      </c>
      <c r="F22" s="42" t="s">
        <v>560</v>
      </c>
      <c r="G22" s="14">
        <v>201</v>
      </c>
      <c r="H22" s="14">
        <v>2</v>
      </c>
      <c r="I22" s="14" t="s">
        <v>609</v>
      </c>
      <c r="J22" s="14" t="s">
        <v>29</v>
      </c>
      <c r="K22" s="14" t="s">
        <v>610</v>
      </c>
      <c r="L22" s="42" t="s">
        <v>677</v>
      </c>
      <c r="M22" s="42" t="s">
        <v>573</v>
      </c>
      <c r="N22" s="14" t="s">
        <v>268</v>
      </c>
      <c r="O22" s="14" t="s">
        <v>268</v>
      </c>
      <c r="P22" s="43" t="s">
        <v>550</v>
      </c>
      <c r="Q22" s="14" t="s">
        <v>550</v>
      </c>
      <c r="R22" s="14" t="s">
        <v>33</v>
      </c>
      <c r="S22" s="14">
        <v>1</v>
      </c>
      <c r="T22" s="14">
        <v>1</v>
      </c>
      <c r="U22" s="14">
        <v>1</v>
      </c>
      <c r="V22" s="14">
        <v>1</v>
      </c>
      <c r="W22" s="34">
        <v>20000</v>
      </c>
      <c r="X22" s="57">
        <v>0</v>
      </c>
      <c r="Y22" s="34">
        <v>20000</v>
      </c>
      <c r="Z22" s="57">
        <v>20000</v>
      </c>
      <c r="AA22" s="33"/>
      <c r="AB22" s="42" t="s">
        <v>653</v>
      </c>
      <c r="AD22" s="33"/>
      <c r="AE22" s="35">
        <v>1.5</v>
      </c>
      <c r="AF22" s="34">
        <v>30000</v>
      </c>
      <c r="AG22" s="34">
        <v>30000</v>
      </c>
      <c r="AH22" s="33">
        <v>0</v>
      </c>
      <c r="AI22" s="33">
        <v>0</v>
      </c>
      <c r="AJ22" s="33"/>
      <c r="AK22">
        <v>0.22</v>
      </c>
      <c r="AL22" s="34">
        <v>30000</v>
      </c>
      <c r="AM22" s="57">
        <v>6600</v>
      </c>
      <c r="AN22">
        <v>36600</v>
      </c>
      <c r="AO22" s="34">
        <v>30000</v>
      </c>
      <c r="AP22" s="57">
        <v>6600</v>
      </c>
      <c r="AQ22">
        <v>36600</v>
      </c>
      <c r="AR22" s="33">
        <v>7</v>
      </c>
      <c r="AS22" s="14" t="s">
        <v>29</v>
      </c>
      <c r="AT22" s="14" t="s">
        <v>35</v>
      </c>
      <c r="AU22" s="44"/>
    </row>
    <row r="23" spans="1:47" ht="72" x14ac:dyDescent="0.3">
      <c r="A23" s="14">
        <v>22</v>
      </c>
      <c r="B23" s="14"/>
      <c r="C23" s="14" t="s">
        <v>565</v>
      </c>
      <c r="D23" s="14" t="s">
        <v>70</v>
      </c>
      <c r="E23" s="14">
        <v>1</v>
      </c>
      <c r="F23" s="42" t="s">
        <v>557</v>
      </c>
      <c r="G23" s="14">
        <v>201</v>
      </c>
      <c r="H23" s="14">
        <v>3</v>
      </c>
      <c r="I23" s="14" t="s">
        <v>611</v>
      </c>
      <c r="J23" s="14" t="s">
        <v>29</v>
      </c>
      <c r="K23" s="14" t="s">
        <v>612</v>
      </c>
      <c r="L23" s="42" t="s">
        <v>678</v>
      </c>
      <c r="M23" s="42" t="s">
        <v>566</v>
      </c>
      <c r="N23" s="14" t="s">
        <v>268</v>
      </c>
      <c r="O23" s="14" t="s">
        <v>268</v>
      </c>
      <c r="P23" s="43" t="s">
        <v>550</v>
      </c>
      <c r="Q23" s="14" t="s">
        <v>550</v>
      </c>
      <c r="R23" s="14" t="s">
        <v>33</v>
      </c>
      <c r="S23" s="14">
        <v>1</v>
      </c>
      <c r="T23" s="14">
        <v>1</v>
      </c>
      <c r="U23" s="14">
        <v>1</v>
      </c>
      <c r="V23" s="14">
        <v>1</v>
      </c>
      <c r="W23" s="34">
        <v>20000</v>
      </c>
      <c r="X23" s="57">
        <v>0</v>
      </c>
      <c r="Y23" s="34">
        <v>20000</v>
      </c>
      <c r="Z23" s="57">
        <v>20000</v>
      </c>
      <c r="AA23" s="33"/>
      <c r="AB23" s="42" t="s">
        <v>653</v>
      </c>
      <c r="AD23" s="33"/>
      <c r="AE23" s="35">
        <v>1.5</v>
      </c>
      <c r="AF23" s="34">
        <v>30000</v>
      </c>
      <c r="AG23" s="34">
        <v>30000</v>
      </c>
      <c r="AH23" s="33">
        <v>0</v>
      </c>
      <c r="AI23" s="33">
        <v>0</v>
      </c>
      <c r="AJ23" s="33"/>
      <c r="AK23">
        <v>0.22</v>
      </c>
      <c r="AL23" s="34">
        <v>30000</v>
      </c>
      <c r="AM23" s="57">
        <v>6600</v>
      </c>
      <c r="AN23">
        <v>36600</v>
      </c>
      <c r="AO23" s="34">
        <v>30000</v>
      </c>
      <c r="AP23" s="57">
        <v>6600</v>
      </c>
      <c r="AQ23">
        <v>36600</v>
      </c>
      <c r="AR23" s="33">
        <v>7</v>
      </c>
      <c r="AS23" s="14" t="s">
        <v>29</v>
      </c>
      <c r="AT23" s="14" t="s">
        <v>35</v>
      </c>
      <c r="AU23" s="44"/>
    </row>
    <row r="24" spans="1:47" ht="72" x14ac:dyDescent="0.3">
      <c r="A24" s="14">
        <v>23</v>
      </c>
      <c r="B24" s="14"/>
      <c r="C24" s="14" t="s">
        <v>565</v>
      </c>
      <c r="D24" s="14" t="s">
        <v>70</v>
      </c>
      <c r="E24" s="14">
        <v>1</v>
      </c>
      <c r="F24" s="42" t="s">
        <v>561</v>
      </c>
      <c r="G24" s="14">
        <v>202</v>
      </c>
      <c r="H24" s="14">
        <v>1</v>
      </c>
      <c r="I24" s="14" t="s">
        <v>613</v>
      </c>
      <c r="J24" s="14" t="s">
        <v>29</v>
      </c>
      <c r="K24" s="14" t="s">
        <v>614</v>
      </c>
      <c r="L24" s="42" t="s">
        <v>679</v>
      </c>
      <c r="M24" s="42" t="s">
        <v>563</v>
      </c>
      <c r="N24" s="14" t="s">
        <v>268</v>
      </c>
      <c r="O24" s="14" t="s">
        <v>268</v>
      </c>
      <c r="P24" s="43" t="s">
        <v>550</v>
      </c>
      <c r="Q24" s="14" t="s">
        <v>550</v>
      </c>
      <c r="R24" s="14" t="s">
        <v>33</v>
      </c>
      <c r="S24" s="14">
        <v>1</v>
      </c>
      <c r="T24" s="14">
        <v>1</v>
      </c>
      <c r="U24" s="14">
        <v>1</v>
      </c>
      <c r="V24" s="14">
        <v>1</v>
      </c>
      <c r="W24" s="34">
        <v>800000</v>
      </c>
      <c r="X24" s="57">
        <v>0</v>
      </c>
      <c r="Y24" s="34">
        <v>800000</v>
      </c>
      <c r="Z24" s="57">
        <v>800000</v>
      </c>
      <c r="AA24" s="33"/>
      <c r="AB24" s="42" t="s">
        <v>654</v>
      </c>
      <c r="AD24" s="33"/>
      <c r="AE24" s="35">
        <v>3.2</v>
      </c>
      <c r="AF24" s="34">
        <v>2560000</v>
      </c>
      <c r="AG24" s="34">
        <v>2560000</v>
      </c>
      <c r="AH24" s="33">
        <v>0</v>
      </c>
      <c r="AI24" s="33">
        <v>0</v>
      </c>
      <c r="AJ24" s="33"/>
      <c r="AK24">
        <v>0.22</v>
      </c>
      <c r="AL24" s="34">
        <v>2560000</v>
      </c>
      <c r="AM24" s="57">
        <v>563200</v>
      </c>
      <c r="AN24">
        <v>3123200</v>
      </c>
      <c r="AO24" s="34">
        <v>2560000</v>
      </c>
      <c r="AP24" s="57">
        <v>563200</v>
      </c>
      <c r="AQ24">
        <v>3123200</v>
      </c>
      <c r="AR24" s="33">
        <v>108</v>
      </c>
      <c r="AS24" s="14" t="s">
        <v>29</v>
      </c>
      <c r="AT24" s="14" t="s">
        <v>35</v>
      </c>
      <c r="AU24" s="44"/>
    </row>
    <row r="25" spans="1:47" ht="115.2" x14ac:dyDescent="0.3">
      <c r="A25" s="14">
        <v>24</v>
      </c>
      <c r="B25" s="14"/>
      <c r="C25" s="14" t="s">
        <v>565</v>
      </c>
      <c r="D25" s="14" t="s">
        <v>70</v>
      </c>
      <c r="E25" s="14">
        <v>1</v>
      </c>
      <c r="F25" s="42" t="s">
        <v>562</v>
      </c>
      <c r="G25" s="14">
        <v>203</v>
      </c>
      <c r="H25" s="14">
        <v>1</v>
      </c>
      <c r="I25" s="14" t="s">
        <v>615</v>
      </c>
      <c r="J25" s="14" t="s">
        <v>29</v>
      </c>
      <c r="K25" s="14" t="s">
        <v>616</v>
      </c>
      <c r="L25" s="42" t="s">
        <v>680</v>
      </c>
      <c r="M25" s="42" t="s">
        <v>564</v>
      </c>
      <c r="N25" s="14" t="s">
        <v>268</v>
      </c>
      <c r="O25" s="14" t="s">
        <v>268</v>
      </c>
      <c r="P25" s="43" t="s">
        <v>550</v>
      </c>
      <c r="Q25" s="14" t="s">
        <v>550</v>
      </c>
      <c r="R25" s="14" t="s">
        <v>33</v>
      </c>
      <c r="S25" s="14">
        <v>1</v>
      </c>
      <c r="T25" s="14">
        <v>1</v>
      </c>
      <c r="U25" s="14">
        <v>1</v>
      </c>
      <c r="V25" s="14">
        <v>1</v>
      </c>
      <c r="W25" s="34">
        <v>300000</v>
      </c>
      <c r="X25" s="57">
        <v>0</v>
      </c>
      <c r="Y25" s="34">
        <v>300000</v>
      </c>
      <c r="Z25" s="57">
        <v>300000</v>
      </c>
      <c r="AA25" s="33"/>
      <c r="AB25" s="42" t="s">
        <v>655</v>
      </c>
      <c r="AD25" s="33"/>
      <c r="AE25" s="35">
        <v>1.17</v>
      </c>
      <c r="AF25" s="34">
        <v>351000</v>
      </c>
      <c r="AG25" s="34">
        <v>351000</v>
      </c>
      <c r="AH25" s="33">
        <v>0</v>
      </c>
      <c r="AI25" s="33">
        <v>0</v>
      </c>
      <c r="AJ25" s="33"/>
      <c r="AK25">
        <v>0.22</v>
      </c>
      <c r="AL25" s="34">
        <v>351000</v>
      </c>
      <c r="AM25" s="57">
        <v>77220</v>
      </c>
      <c r="AN25">
        <v>428220</v>
      </c>
      <c r="AO25" s="34">
        <v>351000</v>
      </c>
      <c r="AP25" s="57">
        <v>77220</v>
      </c>
      <c r="AQ25">
        <v>428220</v>
      </c>
      <c r="AR25" s="33">
        <v>14</v>
      </c>
      <c r="AS25" s="14" t="s">
        <v>29</v>
      </c>
      <c r="AT25" s="14" t="s">
        <v>35</v>
      </c>
      <c r="AU25" s="44" t="s">
        <v>663</v>
      </c>
    </row>
    <row r="26" spans="1:47" ht="86.4" x14ac:dyDescent="0.3">
      <c r="A26" s="14">
        <v>25</v>
      </c>
      <c r="B26" s="14"/>
      <c r="C26" s="14" t="s">
        <v>565</v>
      </c>
      <c r="D26" s="14" t="s">
        <v>70</v>
      </c>
      <c r="E26" s="14">
        <v>1</v>
      </c>
      <c r="F26" s="42" t="s">
        <v>557</v>
      </c>
      <c r="G26" s="14">
        <v>301</v>
      </c>
      <c r="H26" s="14">
        <v>1</v>
      </c>
      <c r="I26" s="14" t="s">
        <v>617</v>
      </c>
      <c r="J26" s="14" t="s">
        <v>29</v>
      </c>
      <c r="K26" s="14" t="s">
        <v>618</v>
      </c>
      <c r="L26" s="42" t="s">
        <v>681</v>
      </c>
      <c r="M26" s="42" t="s">
        <v>572</v>
      </c>
      <c r="N26" s="14" t="s">
        <v>268</v>
      </c>
      <c r="O26" s="14" t="s">
        <v>268</v>
      </c>
      <c r="P26" s="43" t="s">
        <v>550</v>
      </c>
      <c r="Q26" s="14" t="s">
        <v>550</v>
      </c>
      <c r="R26" s="14" t="s">
        <v>33</v>
      </c>
      <c r="S26" s="14">
        <v>1</v>
      </c>
      <c r="T26" s="14">
        <v>1</v>
      </c>
      <c r="U26" s="14">
        <v>1</v>
      </c>
      <c r="V26" s="14">
        <v>1</v>
      </c>
      <c r="W26" s="34">
        <v>100000</v>
      </c>
      <c r="X26" s="57">
        <v>0</v>
      </c>
      <c r="Y26" s="34">
        <v>100000</v>
      </c>
      <c r="Z26" s="57">
        <v>100000</v>
      </c>
      <c r="AA26" s="33"/>
      <c r="AB26" s="42" t="s">
        <v>653</v>
      </c>
      <c r="AD26" s="33"/>
      <c r="AE26" s="35">
        <v>1.5</v>
      </c>
      <c r="AF26" s="34">
        <v>150000</v>
      </c>
      <c r="AG26" s="34">
        <v>150000</v>
      </c>
      <c r="AH26" s="33">
        <v>0</v>
      </c>
      <c r="AI26" s="33">
        <v>0</v>
      </c>
      <c r="AJ26" s="33"/>
      <c r="AK26">
        <v>0.22</v>
      </c>
      <c r="AL26" s="34">
        <v>150000</v>
      </c>
      <c r="AM26" s="57">
        <v>33000</v>
      </c>
      <c r="AN26">
        <v>183000</v>
      </c>
      <c r="AO26" s="34">
        <v>150000</v>
      </c>
      <c r="AP26" s="57">
        <v>33000</v>
      </c>
      <c r="AQ26">
        <v>183000</v>
      </c>
      <c r="AR26" s="33">
        <v>14</v>
      </c>
      <c r="AS26" s="14" t="s">
        <v>29</v>
      </c>
      <c r="AT26" s="14" t="s">
        <v>35</v>
      </c>
      <c r="AU26" s="44"/>
    </row>
    <row r="27" spans="1:47" ht="86.4" x14ac:dyDescent="0.3">
      <c r="A27" s="14">
        <v>26</v>
      </c>
      <c r="B27" s="14"/>
      <c r="C27" s="14" t="s">
        <v>565</v>
      </c>
      <c r="D27" s="14" t="s">
        <v>70</v>
      </c>
      <c r="E27" s="14">
        <v>1</v>
      </c>
      <c r="F27" s="42" t="s">
        <v>560</v>
      </c>
      <c r="G27" s="14">
        <v>301</v>
      </c>
      <c r="H27" s="14">
        <v>2</v>
      </c>
      <c r="I27" s="14" t="s">
        <v>619</v>
      </c>
      <c r="J27" s="14" t="s">
        <v>29</v>
      </c>
      <c r="K27" s="14" t="s">
        <v>620</v>
      </c>
      <c r="L27" s="42" t="s">
        <v>682</v>
      </c>
      <c r="M27" s="42" t="s">
        <v>573</v>
      </c>
      <c r="N27" s="14" t="s">
        <v>268</v>
      </c>
      <c r="O27" s="14" t="s">
        <v>268</v>
      </c>
      <c r="P27" s="43" t="s">
        <v>550</v>
      </c>
      <c r="Q27" s="14" t="s">
        <v>550</v>
      </c>
      <c r="R27" s="14" t="s">
        <v>33</v>
      </c>
      <c r="S27" s="14">
        <v>1</v>
      </c>
      <c r="T27" s="14">
        <v>1</v>
      </c>
      <c r="U27" s="14">
        <v>1</v>
      </c>
      <c r="V27" s="14">
        <v>1</v>
      </c>
      <c r="W27" s="34">
        <v>20000</v>
      </c>
      <c r="X27" s="57">
        <v>0</v>
      </c>
      <c r="Y27" s="34">
        <v>20000</v>
      </c>
      <c r="Z27" s="57">
        <v>20000</v>
      </c>
      <c r="AA27" s="33"/>
      <c r="AB27" s="42" t="s">
        <v>653</v>
      </c>
      <c r="AD27" s="33"/>
      <c r="AE27" s="35">
        <v>1.5</v>
      </c>
      <c r="AF27" s="34">
        <v>30000</v>
      </c>
      <c r="AG27" s="34">
        <v>30000</v>
      </c>
      <c r="AH27" s="33">
        <v>0</v>
      </c>
      <c r="AI27" s="33">
        <v>0</v>
      </c>
      <c r="AJ27" s="33"/>
      <c r="AK27">
        <v>0.22</v>
      </c>
      <c r="AL27" s="34">
        <v>30000</v>
      </c>
      <c r="AM27" s="57">
        <v>6600</v>
      </c>
      <c r="AN27">
        <v>36600</v>
      </c>
      <c r="AO27" s="34">
        <v>30000</v>
      </c>
      <c r="AP27" s="57">
        <v>6600</v>
      </c>
      <c r="AQ27">
        <v>36600</v>
      </c>
      <c r="AR27" s="33">
        <v>7</v>
      </c>
      <c r="AS27" s="14" t="s">
        <v>29</v>
      </c>
      <c r="AT27" s="14" t="s">
        <v>35</v>
      </c>
      <c r="AU27" s="44"/>
    </row>
    <row r="28" spans="1:47" ht="72" x14ac:dyDescent="0.3">
      <c r="A28" s="14">
        <v>27</v>
      </c>
      <c r="B28" s="14"/>
      <c r="C28" s="14" t="s">
        <v>565</v>
      </c>
      <c r="D28" s="14" t="s">
        <v>70</v>
      </c>
      <c r="E28" s="14">
        <v>1</v>
      </c>
      <c r="F28" s="42" t="s">
        <v>557</v>
      </c>
      <c r="G28" s="14">
        <v>301</v>
      </c>
      <c r="H28" s="14">
        <v>3</v>
      </c>
      <c r="I28" s="14" t="s">
        <v>621</v>
      </c>
      <c r="J28" s="14" t="s">
        <v>29</v>
      </c>
      <c r="K28" s="14" t="s">
        <v>622</v>
      </c>
      <c r="L28" s="42" t="s">
        <v>683</v>
      </c>
      <c r="M28" s="42" t="s">
        <v>566</v>
      </c>
      <c r="N28" s="14" t="s">
        <v>268</v>
      </c>
      <c r="O28" s="14" t="s">
        <v>268</v>
      </c>
      <c r="P28" s="43" t="s">
        <v>550</v>
      </c>
      <c r="Q28" s="14" t="s">
        <v>550</v>
      </c>
      <c r="R28" s="14" t="s">
        <v>33</v>
      </c>
      <c r="S28" s="14">
        <v>1</v>
      </c>
      <c r="T28" s="14">
        <v>1</v>
      </c>
      <c r="U28" s="14">
        <v>1</v>
      </c>
      <c r="V28" s="14">
        <v>1</v>
      </c>
      <c r="W28" s="34">
        <v>20000</v>
      </c>
      <c r="X28" s="57">
        <v>0</v>
      </c>
      <c r="Y28" s="34">
        <v>20000</v>
      </c>
      <c r="Z28" s="57">
        <v>20000</v>
      </c>
      <c r="AA28" s="33"/>
      <c r="AB28" s="42" t="s">
        <v>653</v>
      </c>
      <c r="AD28" s="33"/>
      <c r="AE28" s="35">
        <v>1.5</v>
      </c>
      <c r="AF28" s="34">
        <v>30000</v>
      </c>
      <c r="AG28" s="34">
        <v>30000</v>
      </c>
      <c r="AH28" s="33">
        <v>0</v>
      </c>
      <c r="AI28" s="33">
        <v>0</v>
      </c>
      <c r="AJ28" s="33"/>
      <c r="AK28">
        <v>0.22</v>
      </c>
      <c r="AL28" s="34">
        <v>30000</v>
      </c>
      <c r="AM28" s="57">
        <v>6600</v>
      </c>
      <c r="AN28">
        <v>36600</v>
      </c>
      <c r="AO28" s="34">
        <v>30000</v>
      </c>
      <c r="AP28" s="57">
        <v>6600</v>
      </c>
      <c r="AQ28">
        <v>36600</v>
      </c>
      <c r="AR28" s="33">
        <v>7</v>
      </c>
      <c r="AS28" s="14" t="s">
        <v>29</v>
      </c>
      <c r="AT28" s="14" t="s">
        <v>35</v>
      </c>
      <c r="AU28" s="44"/>
    </row>
    <row r="29" spans="1:47" ht="72" x14ac:dyDescent="0.3">
      <c r="A29" s="14">
        <v>28</v>
      </c>
      <c r="B29" s="14"/>
      <c r="C29" s="14" t="s">
        <v>565</v>
      </c>
      <c r="D29" s="14" t="s">
        <v>70</v>
      </c>
      <c r="E29" s="14">
        <v>1</v>
      </c>
      <c r="F29" s="42" t="s">
        <v>561</v>
      </c>
      <c r="G29" s="14">
        <v>302</v>
      </c>
      <c r="H29" s="14">
        <v>1</v>
      </c>
      <c r="I29" s="14" t="s">
        <v>623</v>
      </c>
      <c r="J29" s="14" t="s">
        <v>29</v>
      </c>
      <c r="K29" s="14" t="s">
        <v>624</v>
      </c>
      <c r="L29" s="42" t="s">
        <v>684</v>
      </c>
      <c r="M29" s="42" t="s">
        <v>563</v>
      </c>
      <c r="N29" s="14" t="s">
        <v>268</v>
      </c>
      <c r="O29" s="14" t="s">
        <v>268</v>
      </c>
      <c r="P29" s="43" t="s">
        <v>550</v>
      </c>
      <c r="Q29" s="14" t="s">
        <v>550</v>
      </c>
      <c r="R29" s="14" t="s">
        <v>33</v>
      </c>
      <c r="S29" s="14">
        <v>1</v>
      </c>
      <c r="T29" s="14">
        <v>1</v>
      </c>
      <c r="U29" s="14">
        <v>1</v>
      </c>
      <c r="V29" s="14">
        <v>1</v>
      </c>
      <c r="W29" s="34">
        <v>800000</v>
      </c>
      <c r="X29" s="57">
        <v>0</v>
      </c>
      <c r="Y29" s="34">
        <v>800000</v>
      </c>
      <c r="Z29" s="57">
        <v>800000</v>
      </c>
      <c r="AA29" s="33"/>
      <c r="AB29" s="42" t="s">
        <v>654</v>
      </c>
      <c r="AD29" s="33"/>
      <c r="AE29" s="35">
        <v>3.2</v>
      </c>
      <c r="AF29" s="34">
        <v>2560000</v>
      </c>
      <c r="AG29" s="34">
        <v>2560000</v>
      </c>
      <c r="AH29" s="33">
        <v>0</v>
      </c>
      <c r="AI29" s="33">
        <v>0</v>
      </c>
      <c r="AJ29" s="33"/>
      <c r="AK29">
        <v>0.22</v>
      </c>
      <c r="AL29" s="34">
        <v>2560000</v>
      </c>
      <c r="AM29" s="57">
        <v>563200</v>
      </c>
      <c r="AN29">
        <v>3123200</v>
      </c>
      <c r="AO29" s="34">
        <v>2560000</v>
      </c>
      <c r="AP29" s="57">
        <v>563200</v>
      </c>
      <c r="AQ29">
        <v>3123200</v>
      </c>
      <c r="AR29" s="33">
        <v>108</v>
      </c>
      <c r="AS29" s="14" t="s">
        <v>29</v>
      </c>
      <c r="AT29" s="14" t="s">
        <v>35</v>
      </c>
      <c r="AU29" s="44"/>
    </row>
    <row r="30" spans="1:47" ht="115.2" x14ac:dyDescent="0.3">
      <c r="A30" s="14">
        <v>29</v>
      </c>
      <c r="B30" s="14"/>
      <c r="C30" s="14" t="s">
        <v>565</v>
      </c>
      <c r="D30" s="14" t="s">
        <v>70</v>
      </c>
      <c r="E30" s="14">
        <v>1</v>
      </c>
      <c r="F30" s="42" t="s">
        <v>562</v>
      </c>
      <c r="G30" s="14">
        <v>303</v>
      </c>
      <c r="H30" s="14">
        <v>1</v>
      </c>
      <c r="I30" s="14" t="s">
        <v>625</v>
      </c>
      <c r="J30" s="14" t="s">
        <v>29</v>
      </c>
      <c r="K30" s="14" t="s">
        <v>626</v>
      </c>
      <c r="L30" s="42" t="s">
        <v>685</v>
      </c>
      <c r="M30" s="42" t="s">
        <v>564</v>
      </c>
      <c r="N30" s="14" t="s">
        <v>268</v>
      </c>
      <c r="O30" s="14" t="s">
        <v>268</v>
      </c>
      <c r="P30" s="43" t="s">
        <v>550</v>
      </c>
      <c r="Q30" s="14" t="s">
        <v>550</v>
      </c>
      <c r="R30" s="14" t="s">
        <v>33</v>
      </c>
      <c r="S30" s="14">
        <v>1</v>
      </c>
      <c r="T30" s="14">
        <v>1</v>
      </c>
      <c r="U30" s="14">
        <v>1</v>
      </c>
      <c r="V30" s="14">
        <v>1</v>
      </c>
      <c r="W30" s="34">
        <v>300000</v>
      </c>
      <c r="X30" s="57">
        <v>0</v>
      </c>
      <c r="Y30" s="34">
        <v>300000</v>
      </c>
      <c r="Z30" s="57">
        <v>300000</v>
      </c>
      <c r="AA30" s="33"/>
      <c r="AB30" s="42" t="s">
        <v>655</v>
      </c>
      <c r="AD30" s="33"/>
      <c r="AE30" s="35">
        <v>1.17</v>
      </c>
      <c r="AF30" s="34">
        <v>351000</v>
      </c>
      <c r="AG30" s="34">
        <v>351000</v>
      </c>
      <c r="AH30" s="33">
        <v>0</v>
      </c>
      <c r="AI30" s="33">
        <v>0</v>
      </c>
      <c r="AJ30" s="33"/>
      <c r="AK30">
        <v>0.22</v>
      </c>
      <c r="AL30" s="34">
        <v>351000</v>
      </c>
      <c r="AM30" s="57">
        <v>77220</v>
      </c>
      <c r="AN30">
        <v>428220</v>
      </c>
      <c r="AO30" s="34">
        <v>351000</v>
      </c>
      <c r="AP30" s="57">
        <v>77220</v>
      </c>
      <c r="AQ30">
        <v>428220</v>
      </c>
      <c r="AR30" s="33">
        <v>14</v>
      </c>
      <c r="AS30" s="14" t="s">
        <v>29</v>
      </c>
      <c r="AT30" s="14" t="s">
        <v>35</v>
      </c>
      <c r="AU30" s="44" t="s">
        <v>663</v>
      </c>
    </row>
    <row r="31" spans="1:47" ht="86.4" x14ac:dyDescent="0.3">
      <c r="A31" s="14">
        <v>30</v>
      </c>
      <c r="B31" s="14"/>
      <c r="C31" s="14" t="s">
        <v>565</v>
      </c>
      <c r="D31" s="14" t="s">
        <v>70</v>
      </c>
      <c r="E31" s="14">
        <v>1</v>
      </c>
      <c r="F31" s="42" t="s">
        <v>557</v>
      </c>
      <c r="G31" s="14">
        <v>401</v>
      </c>
      <c r="H31" s="14">
        <v>1</v>
      </c>
      <c r="I31" s="14" t="s">
        <v>627</v>
      </c>
      <c r="J31" s="14" t="s">
        <v>29</v>
      </c>
      <c r="K31" s="14" t="s">
        <v>628</v>
      </c>
      <c r="L31" s="42" t="s">
        <v>697</v>
      </c>
      <c r="M31" s="42" t="s">
        <v>572</v>
      </c>
      <c r="N31" s="14" t="s">
        <v>268</v>
      </c>
      <c r="O31" s="14" t="s">
        <v>268</v>
      </c>
      <c r="P31" s="43" t="s">
        <v>550</v>
      </c>
      <c r="Q31" s="14" t="s">
        <v>550</v>
      </c>
      <c r="R31" s="14" t="s">
        <v>33</v>
      </c>
      <c r="S31" s="14">
        <v>1</v>
      </c>
      <c r="T31" s="14">
        <v>1</v>
      </c>
      <c r="U31" s="14">
        <v>1</v>
      </c>
      <c r="V31" s="14">
        <v>1</v>
      </c>
      <c r="W31" s="34">
        <v>100000</v>
      </c>
      <c r="X31" s="57">
        <v>0</v>
      </c>
      <c r="Y31" s="34">
        <v>100000</v>
      </c>
      <c r="Z31" s="57">
        <v>100000</v>
      </c>
      <c r="AA31" s="33"/>
      <c r="AB31" s="42" t="s">
        <v>653</v>
      </c>
      <c r="AD31" s="33"/>
      <c r="AE31" s="35">
        <v>1.5</v>
      </c>
      <c r="AF31" s="34">
        <v>150000</v>
      </c>
      <c r="AG31" s="34">
        <v>150000</v>
      </c>
      <c r="AH31" s="33">
        <v>0</v>
      </c>
      <c r="AI31" s="33">
        <v>0</v>
      </c>
      <c r="AJ31" s="33"/>
      <c r="AK31">
        <v>0.22</v>
      </c>
      <c r="AL31" s="34">
        <v>150000</v>
      </c>
      <c r="AM31" s="57">
        <v>33000</v>
      </c>
      <c r="AN31">
        <v>183000</v>
      </c>
      <c r="AO31" s="34">
        <v>150000</v>
      </c>
      <c r="AP31" s="57">
        <v>33000</v>
      </c>
      <c r="AQ31">
        <v>183000</v>
      </c>
      <c r="AR31" s="33">
        <v>14</v>
      </c>
      <c r="AS31" s="14" t="s">
        <v>29</v>
      </c>
      <c r="AT31" s="14" t="s">
        <v>35</v>
      </c>
      <c r="AU31" s="44"/>
    </row>
    <row r="32" spans="1:47" ht="86.4" x14ac:dyDescent="0.3">
      <c r="A32" s="14">
        <v>31</v>
      </c>
      <c r="B32" s="14"/>
      <c r="C32" s="14" t="s">
        <v>565</v>
      </c>
      <c r="D32" s="14" t="s">
        <v>70</v>
      </c>
      <c r="E32" s="14">
        <v>1</v>
      </c>
      <c r="F32" s="42" t="s">
        <v>560</v>
      </c>
      <c r="G32" s="14">
        <v>401</v>
      </c>
      <c r="H32" s="14">
        <v>2</v>
      </c>
      <c r="I32" s="14" t="s">
        <v>629</v>
      </c>
      <c r="J32" s="14" t="s">
        <v>29</v>
      </c>
      <c r="K32" s="14" t="s">
        <v>630</v>
      </c>
      <c r="L32" s="42" t="s">
        <v>696</v>
      </c>
      <c r="M32" s="42" t="s">
        <v>573</v>
      </c>
      <c r="N32" s="14" t="s">
        <v>268</v>
      </c>
      <c r="O32" s="14" t="s">
        <v>268</v>
      </c>
      <c r="P32" s="43" t="s">
        <v>550</v>
      </c>
      <c r="Q32" s="14" t="s">
        <v>550</v>
      </c>
      <c r="R32" s="14" t="s">
        <v>33</v>
      </c>
      <c r="S32" s="14">
        <v>1</v>
      </c>
      <c r="T32" s="14">
        <v>1</v>
      </c>
      <c r="U32" s="14">
        <v>1</v>
      </c>
      <c r="V32" s="14">
        <v>1</v>
      </c>
      <c r="W32" s="34">
        <v>20000</v>
      </c>
      <c r="X32" s="57">
        <v>0</v>
      </c>
      <c r="Y32" s="34">
        <v>20000</v>
      </c>
      <c r="Z32" s="57">
        <v>20000</v>
      </c>
      <c r="AA32" s="33"/>
      <c r="AB32" s="42" t="s">
        <v>653</v>
      </c>
      <c r="AD32" s="33"/>
      <c r="AE32" s="35">
        <v>1.5</v>
      </c>
      <c r="AF32" s="34">
        <v>30000</v>
      </c>
      <c r="AG32" s="34">
        <v>30000</v>
      </c>
      <c r="AH32" s="33">
        <v>0</v>
      </c>
      <c r="AI32" s="33">
        <v>0</v>
      </c>
      <c r="AJ32" s="33"/>
      <c r="AK32">
        <v>0.22</v>
      </c>
      <c r="AL32" s="34">
        <v>30000</v>
      </c>
      <c r="AM32" s="57">
        <v>6600</v>
      </c>
      <c r="AN32">
        <v>36600</v>
      </c>
      <c r="AO32" s="34">
        <v>30000</v>
      </c>
      <c r="AP32" s="57">
        <v>6600</v>
      </c>
      <c r="AQ32">
        <v>36600</v>
      </c>
      <c r="AR32" s="33">
        <v>7</v>
      </c>
      <c r="AS32" s="14" t="s">
        <v>29</v>
      </c>
      <c r="AT32" s="14" t="s">
        <v>35</v>
      </c>
      <c r="AU32" s="44"/>
    </row>
    <row r="33" spans="1:47" ht="72" x14ac:dyDescent="0.3">
      <c r="A33" s="14">
        <v>32</v>
      </c>
      <c r="B33" s="14"/>
      <c r="C33" s="14" t="s">
        <v>565</v>
      </c>
      <c r="D33" s="14" t="s">
        <v>70</v>
      </c>
      <c r="E33" s="14">
        <v>1</v>
      </c>
      <c r="F33" s="42" t="s">
        <v>557</v>
      </c>
      <c r="G33" s="14">
        <v>401</v>
      </c>
      <c r="H33" s="14">
        <v>3</v>
      </c>
      <c r="I33" s="14" t="s">
        <v>631</v>
      </c>
      <c r="J33" s="14" t="s">
        <v>29</v>
      </c>
      <c r="K33" s="14" t="s">
        <v>632</v>
      </c>
      <c r="L33" s="42" t="s">
        <v>695</v>
      </c>
      <c r="M33" s="42" t="s">
        <v>566</v>
      </c>
      <c r="N33" s="14" t="s">
        <v>268</v>
      </c>
      <c r="O33" s="14" t="s">
        <v>268</v>
      </c>
      <c r="P33" s="43" t="s">
        <v>550</v>
      </c>
      <c r="Q33" s="14" t="s">
        <v>550</v>
      </c>
      <c r="R33" s="14" t="s">
        <v>33</v>
      </c>
      <c r="S33" s="14">
        <v>1</v>
      </c>
      <c r="T33" s="14">
        <v>1</v>
      </c>
      <c r="U33" s="14">
        <v>1</v>
      </c>
      <c r="V33" s="14">
        <v>1</v>
      </c>
      <c r="W33" s="34">
        <v>20000</v>
      </c>
      <c r="X33" s="57">
        <v>0</v>
      </c>
      <c r="Y33" s="34">
        <v>20000</v>
      </c>
      <c r="Z33" s="57">
        <v>20000</v>
      </c>
      <c r="AA33" s="33"/>
      <c r="AB33" s="42" t="s">
        <v>653</v>
      </c>
      <c r="AD33" s="33"/>
      <c r="AE33" s="35">
        <v>1.5</v>
      </c>
      <c r="AF33" s="34">
        <v>30000</v>
      </c>
      <c r="AG33" s="34">
        <v>30000</v>
      </c>
      <c r="AH33" s="33">
        <v>0</v>
      </c>
      <c r="AI33" s="33">
        <v>0</v>
      </c>
      <c r="AJ33" s="33"/>
      <c r="AK33">
        <v>0.22</v>
      </c>
      <c r="AL33" s="34">
        <v>30000</v>
      </c>
      <c r="AM33" s="57">
        <v>6600</v>
      </c>
      <c r="AN33">
        <v>36600</v>
      </c>
      <c r="AO33" s="34">
        <v>30000</v>
      </c>
      <c r="AP33" s="57">
        <v>6600</v>
      </c>
      <c r="AQ33">
        <v>36600</v>
      </c>
      <c r="AR33" s="33">
        <v>7</v>
      </c>
      <c r="AS33" s="14" t="s">
        <v>29</v>
      </c>
      <c r="AT33" s="14" t="s">
        <v>35</v>
      </c>
      <c r="AU33" s="44"/>
    </row>
    <row r="34" spans="1:47" ht="72" x14ac:dyDescent="0.3">
      <c r="A34" s="14">
        <v>33</v>
      </c>
      <c r="B34" s="14"/>
      <c r="C34" s="14" t="s">
        <v>565</v>
      </c>
      <c r="D34" s="14" t="s">
        <v>70</v>
      </c>
      <c r="E34" s="14">
        <v>1</v>
      </c>
      <c r="F34" s="42" t="s">
        <v>561</v>
      </c>
      <c r="G34" s="14">
        <v>402</v>
      </c>
      <c r="H34" s="14">
        <v>1</v>
      </c>
      <c r="I34" s="14" t="s">
        <v>633</v>
      </c>
      <c r="J34" s="14" t="s">
        <v>29</v>
      </c>
      <c r="K34" s="14" t="s">
        <v>634</v>
      </c>
      <c r="L34" s="42" t="s">
        <v>694</v>
      </c>
      <c r="M34" s="42" t="s">
        <v>563</v>
      </c>
      <c r="N34" s="14" t="s">
        <v>268</v>
      </c>
      <c r="O34" s="14" t="s">
        <v>268</v>
      </c>
      <c r="P34" s="43" t="s">
        <v>550</v>
      </c>
      <c r="Q34" s="14" t="s">
        <v>550</v>
      </c>
      <c r="R34" s="14" t="s">
        <v>33</v>
      </c>
      <c r="S34" s="14">
        <v>1</v>
      </c>
      <c r="T34" s="14">
        <v>1</v>
      </c>
      <c r="U34" s="14">
        <v>1</v>
      </c>
      <c r="V34" s="14">
        <v>1</v>
      </c>
      <c r="W34" s="34">
        <v>800000</v>
      </c>
      <c r="X34" s="57">
        <v>0</v>
      </c>
      <c r="Y34" s="34">
        <v>800000</v>
      </c>
      <c r="Z34" s="57">
        <v>800000</v>
      </c>
      <c r="AA34" s="33"/>
      <c r="AB34" s="42" t="s">
        <v>654</v>
      </c>
      <c r="AD34" s="33"/>
      <c r="AE34" s="35">
        <v>3.2</v>
      </c>
      <c r="AF34" s="34">
        <v>2560000</v>
      </c>
      <c r="AG34" s="34">
        <v>2560000</v>
      </c>
      <c r="AH34" s="33">
        <v>0</v>
      </c>
      <c r="AI34" s="33">
        <v>0</v>
      </c>
      <c r="AJ34" s="33"/>
      <c r="AK34">
        <v>0.22</v>
      </c>
      <c r="AL34" s="34">
        <v>2560000</v>
      </c>
      <c r="AM34" s="57">
        <v>563200</v>
      </c>
      <c r="AN34">
        <v>3123200</v>
      </c>
      <c r="AO34" s="34">
        <v>2560000</v>
      </c>
      <c r="AP34" s="57">
        <v>563200</v>
      </c>
      <c r="AQ34">
        <v>3123200</v>
      </c>
      <c r="AR34" s="33">
        <v>108</v>
      </c>
      <c r="AS34" s="14" t="s">
        <v>29</v>
      </c>
      <c r="AT34" s="14" t="s">
        <v>35</v>
      </c>
      <c r="AU34" s="44"/>
    </row>
    <row r="35" spans="1:47" ht="115.2" x14ac:dyDescent="0.3">
      <c r="A35" s="14">
        <v>34</v>
      </c>
      <c r="B35" s="14"/>
      <c r="C35" s="14" t="s">
        <v>565</v>
      </c>
      <c r="D35" s="14" t="s">
        <v>70</v>
      </c>
      <c r="E35" s="14">
        <v>1</v>
      </c>
      <c r="F35" s="42" t="s">
        <v>562</v>
      </c>
      <c r="G35" s="14">
        <v>403</v>
      </c>
      <c r="H35" s="14">
        <v>1</v>
      </c>
      <c r="I35" s="14" t="s">
        <v>635</v>
      </c>
      <c r="J35" s="14" t="s">
        <v>29</v>
      </c>
      <c r="K35" s="14" t="s">
        <v>636</v>
      </c>
      <c r="L35" s="42" t="s">
        <v>693</v>
      </c>
      <c r="M35" s="42" t="s">
        <v>564</v>
      </c>
      <c r="N35" s="14" t="s">
        <v>268</v>
      </c>
      <c r="O35" s="14" t="s">
        <v>268</v>
      </c>
      <c r="P35" s="43" t="s">
        <v>550</v>
      </c>
      <c r="Q35" s="14" t="s">
        <v>550</v>
      </c>
      <c r="R35" s="14" t="s">
        <v>33</v>
      </c>
      <c r="S35" s="14">
        <v>1</v>
      </c>
      <c r="T35" s="14">
        <v>1</v>
      </c>
      <c r="U35" s="14">
        <v>1</v>
      </c>
      <c r="V35" s="14">
        <v>1</v>
      </c>
      <c r="W35" s="34">
        <v>300000</v>
      </c>
      <c r="X35" s="57">
        <v>0</v>
      </c>
      <c r="Y35" s="34">
        <v>300000</v>
      </c>
      <c r="Z35" s="57">
        <v>300000</v>
      </c>
      <c r="AA35" s="33"/>
      <c r="AB35" s="42" t="s">
        <v>655</v>
      </c>
      <c r="AD35" s="33"/>
      <c r="AE35" s="35">
        <v>1.17</v>
      </c>
      <c r="AF35" s="34">
        <v>351000</v>
      </c>
      <c r="AG35" s="34">
        <v>351000</v>
      </c>
      <c r="AH35" s="33">
        <v>0</v>
      </c>
      <c r="AI35" s="33">
        <v>0</v>
      </c>
      <c r="AJ35" s="33"/>
      <c r="AK35">
        <v>0.22</v>
      </c>
      <c r="AL35" s="34">
        <v>351000</v>
      </c>
      <c r="AM35" s="57">
        <v>77220</v>
      </c>
      <c r="AN35">
        <v>428220</v>
      </c>
      <c r="AO35" s="34">
        <v>351000</v>
      </c>
      <c r="AP35" s="57">
        <v>77220</v>
      </c>
      <c r="AQ35">
        <v>428220</v>
      </c>
      <c r="AR35" s="33">
        <v>14</v>
      </c>
      <c r="AS35" s="14" t="s">
        <v>29</v>
      </c>
      <c r="AT35" s="14" t="s">
        <v>35</v>
      </c>
      <c r="AU35" s="44" t="s">
        <v>663</v>
      </c>
    </row>
    <row r="36" spans="1:47" ht="86.4" x14ac:dyDescent="0.3">
      <c r="A36" s="14">
        <v>35</v>
      </c>
      <c r="B36" s="14"/>
      <c r="C36" s="14" t="s">
        <v>565</v>
      </c>
      <c r="D36" s="14" t="s">
        <v>70</v>
      </c>
      <c r="E36" s="14">
        <v>1</v>
      </c>
      <c r="F36" s="42" t="s">
        <v>557</v>
      </c>
      <c r="G36" s="14">
        <v>501</v>
      </c>
      <c r="H36" s="14">
        <v>1</v>
      </c>
      <c r="I36" s="14" t="s">
        <v>637</v>
      </c>
      <c r="J36" s="14" t="s">
        <v>35</v>
      </c>
      <c r="K36" s="14" t="s">
        <v>775</v>
      </c>
      <c r="L36" s="42" t="s">
        <v>702</v>
      </c>
      <c r="M36" s="42" t="s">
        <v>572</v>
      </c>
      <c r="N36" s="14" t="s">
        <v>268</v>
      </c>
      <c r="O36" s="14" t="s">
        <v>268</v>
      </c>
      <c r="P36" s="43" t="s">
        <v>550</v>
      </c>
      <c r="Q36" s="14" t="s">
        <v>550</v>
      </c>
      <c r="R36" s="14" t="s">
        <v>33</v>
      </c>
      <c r="S36" s="14">
        <v>1</v>
      </c>
      <c r="T36" s="14">
        <v>1</v>
      </c>
      <c r="U36" s="14">
        <v>1</v>
      </c>
      <c r="V36" s="14">
        <v>1</v>
      </c>
      <c r="W36" s="34">
        <v>100000</v>
      </c>
      <c r="X36" s="57">
        <v>0</v>
      </c>
      <c r="Y36" s="34">
        <v>100000</v>
      </c>
      <c r="Z36" s="57">
        <v>100000</v>
      </c>
      <c r="AA36" s="33"/>
      <c r="AB36" s="42" t="s">
        <v>653</v>
      </c>
      <c r="AD36" s="33"/>
      <c r="AE36" s="35">
        <v>1.5</v>
      </c>
      <c r="AF36" s="34">
        <v>150000</v>
      </c>
      <c r="AG36" s="34">
        <v>150000</v>
      </c>
      <c r="AH36" s="33">
        <v>0</v>
      </c>
      <c r="AI36" s="33">
        <v>0</v>
      </c>
      <c r="AJ36" s="33"/>
      <c r="AK36">
        <v>0.22</v>
      </c>
      <c r="AL36" s="34">
        <v>150000</v>
      </c>
      <c r="AM36" s="57">
        <v>33000</v>
      </c>
      <c r="AN36">
        <v>183000</v>
      </c>
      <c r="AO36" s="34">
        <v>150000</v>
      </c>
      <c r="AP36" s="57">
        <v>33000</v>
      </c>
      <c r="AQ36">
        <v>183000</v>
      </c>
      <c r="AR36" s="33">
        <v>14</v>
      </c>
      <c r="AS36" s="14" t="s">
        <v>35</v>
      </c>
      <c r="AT36" s="14" t="s">
        <v>35</v>
      </c>
      <c r="AU36" s="44"/>
    </row>
    <row r="37" spans="1:47" ht="86.4" x14ac:dyDescent="0.3">
      <c r="A37" s="14">
        <v>36</v>
      </c>
      <c r="B37" s="14"/>
      <c r="C37" s="14" t="s">
        <v>565</v>
      </c>
      <c r="D37" s="14" t="s">
        <v>70</v>
      </c>
      <c r="E37" s="14">
        <v>1</v>
      </c>
      <c r="F37" s="42" t="s">
        <v>560</v>
      </c>
      <c r="G37" s="14">
        <v>501</v>
      </c>
      <c r="H37" s="14">
        <v>2</v>
      </c>
      <c r="I37" s="14" t="s">
        <v>638</v>
      </c>
      <c r="J37" s="14" t="s">
        <v>35</v>
      </c>
      <c r="K37" s="14" t="s">
        <v>776</v>
      </c>
      <c r="L37" s="42" t="s">
        <v>701</v>
      </c>
      <c r="M37" s="42" t="s">
        <v>573</v>
      </c>
      <c r="N37" s="14" t="s">
        <v>268</v>
      </c>
      <c r="O37" s="14" t="s">
        <v>268</v>
      </c>
      <c r="P37" s="43" t="s">
        <v>550</v>
      </c>
      <c r="Q37" s="14" t="s">
        <v>550</v>
      </c>
      <c r="R37" s="14" t="s">
        <v>33</v>
      </c>
      <c r="S37" s="14">
        <v>1</v>
      </c>
      <c r="T37" s="14">
        <v>1</v>
      </c>
      <c r="U37" s="14">
        <v>1</v>
      </c>
      <c r="V37" s="14">
        <v>1</v>
      </c>
      <c r="W37" s="34">
        <v>20000</v>
      </c>
      <c r="X37" s="57">
        <v>0</v>
      </c>
      <c r="Y37" s="34">
        <v>20000</v>
      </c>
      <c r="Z37" s="57">
        <v>20000</v>
      </c>
      <c r="AA37" s="33"/>
      <c r="AB37" s="42" t="s">
        <v>653</v>
      </c>
      <c r="AD37" s="33"/>
      <c r="AE37" s="35">
        <v>1.5</v>
      </c>
      <c r="AF37" s="34">
        <v>30000</v>
      </c>
      <c r="AG37" s="34">
        <v>30000</v>
      </c>
      <c r="AH37" s="33">
        <v>0</v>
      </c>
      <c r="AI37" s="33">
        <v>0</v>
      </c>
      <c r="AJ37" s="33"/>
      <c r="AK37">
        <v>0.22</v>
      </c>
      <c r="AL37" s="34">
        <v>30000</v>
      </c>
      <c r="AM37" s="57">
        <v>6600</v>
      </c>
      <c r="AN37">
        <v>36600</v>
      </c>
      <c r="AO37" s="34">
        <v>30000</v>
      </c>
      <c r="AP37" s="57">
        <v>6600</v>
      </c>
      <c r="AQ37">
        <v>36600</v>
      </c>
      <c r="AR37" s="33">
        <v>7</v>
      </c>
      <c r="AS37" s="14" t="s">
        <v>35</v>
      </c>
      <c r="AT37" s="14" t="s">
        <v>35</v>
      </c>
      <c r="AU37" s="44"/>
    </row>
    <row r="38" spans="1:47" ht="72" x14ac:dyDescent="0.3">
      <c r="A38" s="14">
        <v>37</v>
      </c>
      <c r="B38" s="14"/>
      <c r="C38" s="14" t="s">
        <v>565</v>
      </c>
      <c r="D38" s="14" t="s">
        <v>70</v>
      </c>
      <c r="E38" s="14">
        <v>1</v>
      </c>
      <c r="F38" s="42" t="s">
        <v>557</v>
      </c>
      <c r="G38" s="14">
        <v>501</v>
      </c>
      <c r="H38" s="14">
        <v>3</v>
      </c>
      <c r="I38" s="14" t="s">
        <v>639</v>
      </c>
      <c r="J38" s="14" t="s">
        <v>35</v>
      </c>
      <c r="K38" s="14" t="s">
        <v>777</v>
      </c>
      <c r="L38" s="42" t="s">
        <v>700</v>
      </c>
      <c r="M38" s="42" t="s">
        <v>566</v>
      </c>
      <c r="N38" s="14" t="s">
        <v>268</v>
      </c>
      <c r="O38" s="14" t="s">
        <v>268</v>
      </c>
      <c r="P38" s="43" t="s">
        <v>550</v>
      </c>
      <c r="Q38" s="14" t="s">
        <v>550</v>
      </c>
      <c r="R38" s="14" t="s">
        <v>33</v>
      </c>
      <c r="S38" s="14">
        <v>1</v>
      </c>
      <c r="T38" s="14">
        <v>1</v>
      </c>
      <c r="U38" s="14">
        <v>1</v>
      </c>
      <c r="V38" s="14">
        <v>1</v>
      </c>
      <c r="W38" s="34">
        <v>20000</v>
      </c>
      <c r="X38" s="57">
        <v>0</v>
      </c>
      <c r="Y38" s="34">
        <v>20000</v>
      </c>
      <c r="Z38" s="57">
        <v>20000</v>
      </c>
      <c r="AA38" s="33"/>
      <c r="AB38" s="42" t="s">
        <v>653</v>
      </c>
      <c r="AD38" s="33"/>
      <c r="AE38" s="35">
        <v>1.5</v>
      </c>
      <c r="AF38" s="34">
        <v>30000</v>
      </c>
      <c r="AG38" s="34">
        <v>30000</v>
      </c>
      <c r="AH38" s="33">
        <v>0</v>
      </c>
      <c r="AI38" s="33">
        <v>0</v>
      </c>
      <c r="AJ38" s="33"/>
      <c r="AK38">
        <v>0.22</v>
      </c>
      <c r="AL38" s="34">
        <v>30000</v>
      </c>
      <c r="AM38" s="57">
        <v>6600</v>
      </c>
      <c r="AN38">
        <v>36600</v>
      </c>
      <c r="AO38" s="34">
        <v>30000</v>
      </c>
      <c r="AP38" s="57">
        <v>6600</v>
      </c>
      <c r="AQ38">
        <v>36600</v>
      </c>
      <c r="AR38" s="33">
        <v>7</v>
      </c>
      <c r="AS38" s="14" t="s">
        <v>35</v>
      </c>
      <c r="AT38" s="14" t="s">
        <v>35</v>
      </c>
      <c r="AU38" s="44"/>
    </row>
    <row r="39" spans="1:47" ht="72" x14ac:dyDescent="0.3">
      <c r="A39" s="14">
        <v>38</v>
      </c>
      <c r="B39" s="14"/>
      <c r="C39" s="14" t="s">
        <v>565</v>
      </c>
      <c r="D39" s="14" t="s">
        <v>70</v>
      </c>
      <c r="E39" s="14">
        <v>1</v>
      </c>
      <c r="F39" s="42" t="s">
        <v>561</v>
      </c>
      <c r="G39" s="14">
        <v>502</v>
      </c>
      <c r="H39" s="14">
        <v>1</v>
      </c>
      <c r="I39" s="14" t="s">
        <v>640</v>
      </c>
      <c r="J39" s="14" t="s">
        <v>35</v>
      </c>
      <c r="K39" s="14" t="s">
        <v>778</v>
      </c>
      <c r="L39" s="42" t="s">
        <v>699</v>
      </c>
      <c r="M39" s="42" t="s">
        <v>563</v>
      </c>
      <c r="N39" s="14" t="s">
        <v>268</v>
      </c>
      <c r="O39" s="14" t="s">
        <v>268</v>
      </c>
      <c r="P39" s="43" t="s">
        <v>550</v>
      </c>
      <c r="Q39" s="14" t="s">
        <v>550</v>
      </c>
      <c r="R39" s="14" t="s">
        <v>33</v>
      </c>
      <c r="S39" s="14">
        <v>1</v>
      </c>
      <c r="T39" s="14">
        <v>1</v>
      </c>
      <c r="U39" s="14">
        <v>1</v>
      </c>
      <c r="V39" s="14">
        <v>1</v>
      </c>
      <c r="W39" s="34">
        <v>800000</v>
      </c>
      <c r="X39" s="57">
        <v>0</v>
      </c>
      <c r="Y39" s="34">
        <v>800000</v>
      </c>
      <c r="Z39" s="57">
        <v>800000</v>
      </c>
      <c r="AA39" s="33"/>
      <c r="AB39" s="42" t="s">
        <v>654</v>
      </c>
      <c r="AD39" s="33"/>
      <c r="AE39" s="35">
        <v>3.2</v>
      </c>
      <c r="AF39" s="34">
        <v>2560000</v>
      </c>
      <c r="AG39" s="34">
        <v>2560000</v>
      </c>
      <c r="AH39" s="33">
        <v>0</v>
      </c>
      <c r="AI39" s="33">
        <v>0</v>
      </c>
      <c r="AJ39" s="33"/>
      <c r="AK39">
        <v>0.22</v>
      </c>
      <c r="AL39" s="34">
        <v>2560000</v>
      </c>
      <c r="AM39" s="57">
        <v>563200</v>
      </c>
      <c r="AN39">
        <v>3123200</v>
      </c>
      <c r="AO39" s="34">
        <v>2560000</v>
      </c>
      <c r="AP39" s="57">
        <v>563200</v>
      </c>
      <c r="AQ39">
        <v>3123200</v>
      </c>
      <c r="AR39" s="33">
        <v>108</v>
      </c>
      <c r="AS39" s="14" t="s">
        <v>35</v>
      </c>
      <c r="AT39" s="14" t="s">
        <v>35</v>
      </c>
      <c r="AU39" s="44"/>
    </row>
    <row r="40" spans="1:47" ht="115.2" x14ac:dyDescent="0.3">
      <c r="A40" s="14">
        <v>39</v>
      </c>
      <c r="B40" s="14"/>
      <c r="C40" s="14" t="s">
        <v>565</v>
      </c>
      <c r="D40" s="14" t="s">
        <v>70</v>
      </c>
      <c r="E40" s="14">
        <v>1</v>
      </c>
      <c r="F40" s="42" t="s">
        <v>562</v>
      </c>
      <c r="G40" s="14">
        <v>503</v>
      </c>
      <c r="H40" s="14">
        <v>1</v>
      </c>
      <c r="I40" s="14" t="s">
        <v>641</v>
      </c>
      <c r="J40" s="14" t="s">
        <v>35</v>
      </c>
      <c r="K40" s="14" t="s">
        <v>779</v>
      </c>
      <c r="L40" s="42" t="s">
        <v>698</v>
      </c>
      <c r="M40" s="42" t="s">
        <v>564</v>
      </c>
      <c r="N40" s="14" t="s">
        <v>268</v>
      </c>
      <c r="O40" s="14" t="s">
        <v>268</v>
      </c>
      <c r="P40" s="43" t="s">
        <v>550</v>
      </c>
      <c r="Q40" s="14" t="s">
        <v>550</v>
      </c>
      <c r="R40" s="14" t="s">
        <v>33</v>
      </c>
      <c r="S40" s="14">
        <v>1</v>
      </c>
      <c r="T40" s="14">
        <v>1</v>
      </c>
      <c r="U40" s="14">
        <v>1</v>
      </c>
      <c r="V40" s="14">
        <v>1</v>
      </c>
      <c r="W40" s="34">
        <v>300000</v>
      </c>
      <c r="X40" s="57">
        <v>0</v>
      </c>
      <c r="Y40" s="34">
        <v>300000</v>
      </c>
      <c r="Z40" s="57">
        <v>300000</v>
      </c>
      <c r="AA40" s="33"/>
      <c r="AB40" s="42" t="s">
        <v>655</v>
      </c>
      <c r="AD40" s="33"/>
      <c r="AE40" s="35">
        <v>1.17</v>
      </c>
      <c r="AF40" s="34">
        <v>351000</v>
      </c>
      <c r="AG40" s="34">
        <v>351000</v>
      </c>
      <c r="AH40" s="33">
        <v>0</v>
      </c>
      <c r="AI40" s="33">
        <v>0</v>
      </c>
      <c r="AJ40" s="33"/>
      <c r="AK40">
        <v>0.22</v>
      </c>
      <c r="AL40" s="34">
        <v>351000</v>
      </c>
      <c r="AM40" s="57">
        <v>77220</v>
      </c>
      <c r="AN40">
        <v>428220</v>
      </c>
      <c r="AO40" s="34">
        <v>351000</v>
      </c>
      <c r="AP40" s="57">
        <v>77220</v>
      </c>
      <c r="AQ40">
        <v>428220</v>
      </c>
      <c r="AR40" s="33">
        <v>14</v>
      </c>
      <c r="AS40" s="14" t="s">
        <v>35</v>
      </c>
      <c r="AT40" s="14" t="s">
        <v>35</v>
      </c>
      <c r="AU40" s="44" t="s">
        <v>663</v>
      </c>
    </row>
    <row r="41" spans="1:47" ht="86.4" x14ac:dyDescent="0.3">
      <c r="A41" s="14">
        <v>40</v>
      </c>
      <c r="B41" s="14"/>
      <c r="C41" s="14" t="s">
        <v>565</v>
      </c>
      <c r="D41" s="14" t="s">
        <v>70</v>
      </c>
      <c r="E41" s="14">
        <v>1</v>
      </c>
      <c r="F41" s="42" t="s">
        <v>557</v>
      </c>
      <c r="G41" s="14">
        <v>601</v>
      </c>
      <c r="H41" s="14">
        <v>1</v>
      </c>
      <c r="I41" s="14" t="s">
        <v>642</v>
      </c>
      <c r="J41" s="14" t="s">
        <v>29</v>
      </c>
      <c r="K41" s="14" t="s">
        <v>643</v>
      </c>
      <c r="L41" s="42" t="s">
        <v>705</v>
      </c>
      <c r="M41" s="42" t="s">
        <v>572</v>
      </c>
      <c r="N41" s="14" t="s">
        <v>268</v>
      </c>
      <c r="O41" s="14" t="s">
        <v>268</v>
      </c>
      <c r="P41" s="43" t="s">
        <v>550</v>
      </c>
      <c r="Q41" s="14" t="s">
        <v>550</v>
      </c>
      <c r="R41" s="14" t="s">
        <v>33</v>
      </c>
      <c r="S41" s="14">
        <v>1</v>
      </c>
      <c r="T41" s="14">
        <v>1</v>
      </c>
      <c r="U41" s="14">
        <v>1</v>
      </c>
      <c r="V41" s="14">
        <v>1</v>
      </c>
      <c r="W41" s="34">
        <v>100000</v>
      </c>
      <c r="X41" s="57">
        <v>0</v>
      </c>
      <c r="Y41" s="34">
        <v>100000</v>
      </c>
      <c r="Z41" s="57">
        <v>100000</v>
      </c>
      <c r="AA41" s="33"/>
      <c r="AB41" s="42" t="s">
        <v>653</v>
      </c>
      <c r="AD41" s="33"/>
      <c r="AE41" s="35">
        <v>1.5</v>
      </c>
      <c r="AF41" s="34">
        <v>150000</v>
      </c>
      <c r="AG41" s="34">
        <v>150000</v>
      </c>
      <c r="AH41" s="33">
        <v>0</v>
      </c>
      <c r="AI41" s="33">
        <v>0</v>
      </c>
      <c r="AJ41" s="33"/>
      <c r="AK41">
        <v>0.22</v>
      </c>
      <c r="AL41" s="34">
        <v>150000</v>
      </c>
      <c r="AM41" s="57">
        <v>33000</v>
      </c>
      <c r="AN41">
        <v>183000</v>
      </c>
      <c r="AO41" s="34">
        <v>150000</v>
      </c>
      <c r="AP41" s="57">
        <v>33000</v>
      </c>
      <c r="AQ41">
        <v>183000</v>
      </c>
      <c r="AR41" s="33">
        <v>14</v>
      </c>
      <c r="AS41" s="14" t="s">
        <v>29</v>
      </c>
      <c r="AT41" s="14" t="s">
        <v>35</v>
      </c>
      <c r="AU41" s="44"/>
    </row>
    <row r="42" spans="1:47" ht="86.4" x14ac:dyDescent="0.3">
      <c r="A42" s="14">
        <v>41</v>
      </c>
      <c r="B42" s="14"/>
      <c r="C42" s="14" t="s">
        <v>565</v>
      </c>
      <c r="D42" s="14" t="s">
        <v>70</v>
      </c>
      <c r="E42" s="14">
        <v>1</v>
      </c>
      <c r="F42" s="42" t="s">
        <v>560</v>
      </c>
      <c r="G42" s="14">
        <v>601</v>
      </c>
      <c r="H42" s="14">
        <v>2</v>
      </c>
      <c r="I42" s="14" t="s">
        <v>644</v>
      </c>
      <c r="J42" s="14" t="s">
        <v>29</v>
      </c>
      <c r="K42" s="14" t="s">
        <v>645</v>
      </c>
      <c r="L42" s="42" t="s">
        <v>706</v>
      </c>
      <c r="M42" s="42" t="s">
        <v>573</v>
      </c>
      <c r="N42" s="14" t="s">
        <v>268</v>
      </c>
      <c r="O42" s="14" t="s">
        <v>268</v>
      </c>
      <c r="P42" s="43" t="s">
        <v>550</v>
      </c>
      <c r="Q42" s="14" t="s">
        <v>550</v>
      </c>
      <c r="R42" s="14" t="s">
        <v>33</v>
      </c>
      <c r="S42" s="14">
        <v>1</v>
      </c>
      <c r="T42" s="14">
        <v>1</v>
      </c>
      <c r="U42" s="14">
        <v>1</v>
      </c>
      <c r="V42" s="14">
        <v>1</v>
      </c>
      <c r="W42" s="34">
        <v>20000</v>
      </c>
      <c r="X42" s="57">
        <v>0</v>
      </c>
      <c r="Y42" s="34">
        <v>20000</v>
      </c>
      <c r="Z42" s="57">
        <v>20000</v>
      </c>
      <c r="AA42" s="33"/>
      <c r="AB42" s="42" t="s">
        <v>653</v>
      </c>
      <c r="AD42" s="33"/>
      <c r="AE42" s="35">
        <v>1.5</v>
      </c>
      <c r="AF42" s="34">
        <v>30000</v>
      </c>
      <c r="AG42" s="34">
        <v>30000</v>
      </c>
      <c r="AH42" s="33">
        <v>0</v>
      </c>
      <c r="AI42" s="33">
        <v>0</v>
      </c>
      <c r="AJ42" s="33"/>
      <c r="AK42">
        <v>0.22</v>
      </c>
      <c r="AL42" s="34">
        <v>30000</v>
      </c>
      <c r="AM42" s="57">
        <v>6600</v>
      </c>
      <c r="AN42">
        <v>36600</v>
      </c>
      <c r="AO42" s="34">
        <v>30000</v>
      </c>
      <c r="AP42" s="57">
        <v>6600</v>
      </c>
      <c r="AQ42">
        <v>36600</v>
      </c>
      <c r="AR42" s="33">
        <v>7</v>
      </c>
      <c r="AS42" s="14" t="s">
        <v>29</v>
      </c>
      <c r="AT42" s="14" t="s">
        <v>35</v>
      </c>
      <c r="AU42" s="44"/>
    </row>
    <row r="43" spans="1:47" ht="72" x14ac:dyDescent="0.3">
      <c r="A43" s="14">
        <v>42</v>
      </c>
      <c r="B43" s="14"/>
      <c r="C43" s="14" t="s">
        <v>565</v>
      </c>
      <c r="D43" s="14" t="s">
        <v>70</v>
      </c>
      <c r="E43" s="14">
        <v>1</v>
      </c>
      <c r="F43" s="42" t="s">
        <v>557</v>
      </c>
      <c r="G43" s="14">
        <v>601</v>
      </c>
      <c r="H43" s="14">
        <v>3</v>
      </c>
      <c r="I43" s="14" t="s">
        <v>646</v>
      </c>
      <c r="J43" s="14" t="s">
        <v>29</v>
      </c>
      <c r="K43" s="14" t="s">
        <v>647</v>
      </c>
      <c r="L43" s="42" t="s">
        <v>707</v>
      </c>
      <c r="M43" s="42" t="s">
        <v>566</v>
      </c>
      <c r="N43" s="14" t="s">
        <v>268</v>
      </c>
      <c r="O43" s="14" t="s">
        <v>268</v>
      </c>
      <c r="P43" s="43" t="s">
        <v>550</v>
      </c>
      <c r="Q43" s="14" t="s">
        <v>550</v>
      </c>
      <c r="R43" s="14" t="s">
        <v>33</v>
      </c>
      <c r="S43" s="14">
        <v>1</v>
      </c>
      <c r="T43" s="14">
        <v>1</v>
      </c>
      <c r="U43" s="14">
        <v>1</v>
      </c>
      <c r="V43" s="14">
        <v>1</v>
      </c>
      <c r="W43" s="34">
        <v>20000</v>
      </c>
      <c r="X43" s="57">
        <v>0</v>
      </c>
      <c r="Y43" s="34">
        <v>20000</v>
      </c>
      <c r="Z43" s="57">
        <v>20000</v>
      </c>
      <c r="AA43" s="33"/>
      <c r="AB43" s="42" t="s">
        <v>653</v>
      </c>
      <c r="AD43" s="33"/>
      <c r="AE43" s="35">
        <v>1.5</v>
      </c>
      <c r="AF43" s="34">
        <v>30000</v>
      </c>
      <c r="AG43" s="34">
        <v>30000</v>
      </c>
      <c r="AH43" s="33">
        <v>0</v>
      </c>
      <c r="AI43" s="33">
        <v>0</v>
      </c>
      <c r="AJ43" s="33"/>
      <c r="AK43">
        <v>0.22</v>
      </c>
      <c r="AL43" s="34">
        <v>30000</v>
      </c>
      <c r="AM43" s="57">
        <v>6600</v>
      </c>
      <c r="AN43">
        <v>36600</v>
      </c>
      <c r="AO43" s="34">
        <v>30000</v>
      </c>
      <c r="AP43" s="57">
        <v>6600</v>
      </c>
      <c r="AQ43">
        <v>36600</v>
      </c>
      <c r="AR43" s="33">
        <v>7</v>
      </c>
      <c r="AS43" s="14" t="s">
        <v>29</v>
      </c>
      <c r="AT43" s="14" t="s">
        <v>35</v>
      </c>
      <c r="AU43" s="44"/>
    </row>
    <row r="44" spans="1:47" ht="72" x14ac:dyDescent="0.3">
      <c r="A44" s="14">
        <v>43</v>
      </c>
      <c r="B44" s="14"/>
      <c r="C44" s="14" t="s">
        <v>565</v>
      </c>
      <c r="D44" s="14" t="s">
        <v>70</v>
      </c>
      <c r="E44" s="14">
        <v>1</v>
      </c>
      <c r="F44" s="42" t="s">
        <v>561</v>
      </c>
      <c r="G44" s="14">
        <v>602</v>
      </c>
      <c r="H44" s="14">
        <v>1</v>
      </c>
      <c r="I44" s="14" t="s">
        <v>648</v>
      </c>
      <c r="J44" s="14" t="s">
        <v>29</v>
      </c>
      <c r="K44" s="14" t="s">
        <v>649</v>
      </c>
      <c r="L44" s="42" t="s">
        <v>708</v>
      </c>
      <c r="M44" s="42" t="s">
        <v>563</v>
      </c>
      <c r="N44" s="14" t="s">
        <v>268</v>
      </c>
      <c r="O44" s="14" t="s">
        <v>268</v>
      </c>
      <c r="P44" s="43" t="s">
        <v>550</v>
      </c>
      <c r="Q44" s="14" t="s">
        <v>550</v>
      </c>
      <c r="R44" s="14" t="s">
        <v>33</v>
      </c>
      <c r="S44" s="14">
        <v>1</v>
      </c>
      <c r="T44" s="14">
        <v>1</v>
      </c>
      <c r="U44" s="14">
        <v>1</v>
      </c>
      <c r="V44" s="14">
        <v>1</v>
      </c>
      <c r="W44" s="34">
        <v>800000</v>
      </c>
      <c r="X44" s="57">
        <v>0</v>
      </c>
      <c r="Y44" s="34">
        <v>800000</v>
      </c>
      <c r="Z44" s="57">
        <v>800000</v>
      </c>
      <c r="AA44" s="33"/>
      <c r="AB44" s="42" t="s">
        <v>654</v>
      </c>
      <c r="AD44" s="33"/>
      <c r="AE44" s="35">
        <v>3.2</v>
      </c>
      <c r="AF44" s="34">
        <v>2560000</v>
      </c>
      <c r="AG44" s="34">
        <v>2560000</v>
      </c>
      <c r="AH44" s="33">
        <v>0</v>
      </c>
      <c r="AI44" s="33">
        <v>0</v>
      </c>
      <c r="AJ44" s="33"/>
      <c r="AK44">
        <v>0.22</v>
      </c>
      <c r="AL44" s="34">
        <v>2560000</v>
      </c>
      <c r="AM44" s="57">
        <v>563200</v>
      </c>
      <c r="AN44">
        <v>3123200</v>
      </c>
      <c r="AO44" s="34">
        <v>2560000</v>
      </c>
      <c r="AP44" s="57">
        <v>563200</v>
      </c>
      <c r="AQ44">
        <v>3123200</v>
      </c>
      <c r="AR44" s="33">
        <v>108</v>
      </c>
      <c r="AS44" s="14" t="s">
        <v>29</v>
      </c>
      <c r="AT44" s="14" t="s">
        <v>35</v>
      </c>
      <c r="AU44" s="44"/>
    </row>
    <row r="45" spans="1:47" ht="115.2" x14ac:dyDescent="0.3">
      <c r="A45" s="14">
        <v>44</v>
      </c>
      <c r="B45" s="14"/>
      <c r="C45" s="14" t="s">
        <v>565</v>
      </c>
      <c r="D45" s="14" t="s">
        <v>70</v>
      </c>
      <c r="E45" s="14">
        <v>1</v>
      </c>
      <c r="F45" s="42" t="s">
        <v>562</v>
      </c>
      <c r="G45" s="14">
        <v>603</v>
      </c>
      <c r="H45" s="14">
        <v>1</v>
      </c>
      <c r="I45" s="14" t="s">
        <v>650</v>
      </c>
      <c r="J45" s="14" t="s">
        <v>29</v>
      </c>
      <c r="K45" s="14" t="s">
        <v>651</v>
      </c>
      <c r="L45" s="42" t="s">
        <v>704</v>
      </c>
      <c r="M45" s="42" t="s">
        <v>564</v>
      </c>
      <c r="N45" s="14" t="s">
        <v>268</v>
      </c>
      <c r="O45" s="14" t="s">
        <v>268</v>
      </c>
      <c r="P45" s="43" t="s">
        <v>550</v>
      </c>
      <c r="Q45" s="14" t="s">
        <v>550</v>
      </c>
      <c r="R45" s="14" t="s">
        <v>33</v>
      </c>
      <c r="S45" s="14">
        <v>1</v>
      </c>
      <c r="T45" s="14">
        <v>1</v>
      </c>
      <c r="U45" s="14">
        <v>1</v>
      </c>
      <c r="V45" s="14">
        <v>1</v>
      </c>
      <c r="W45" s="34">
        <v>300000</v>
      </c>
      <c r="X45" s="57">
        <v>0</v>
      </c>
      <c r="Y45" s="34">
        <v>300000</v>
      </c>
      <c r="Z45" s="57">
        <v>300000</v>
      </c>
      <c r="AA45" s="33"/>
      <c r="AB45" s="42" t="s">
        <v>655</v>
      </c>
      <c r="AD45" s="33"/>
      <c r="AE45" s="35">
        <v>1.17</v>
      </c>
      <c r="AF45" s="34">
        <v>351000</v>
      </c>
      <c r="AG45" s="34">
        <v>351000</v>
      </c>
      <c r="AH45" s="33">
        <v>0</v>
      </c>
      <c r="AI45" s="33">
        <v>0</v>
      </c>
      <c r="AJ45" s="33"/>
      <c r="AK45">
        <v>0.22</v>
      </c>
      <c r="AL45" s="34">
        <v>351000</v>
      </c>
      <c r="AM45" s="57">
        <v>77220</v>
      </c>
      <c r="AN45">
        <v>428220</v>
      </c>
      <c r="AO45" s="34">
        <v>351000</v>
      </c>
      <c r="AP45" s="57">
        <v>77220</v>
      </c>
      <c r="AQ45">
        <v>428220</v>
      </c>
      <c r="AR45" s="33">
        <v>14</v>
      </c>
      <c r="AS45" s="14" t="s">
        <v>29</v>
      </c>
      <c r="AT45" s="14" t="s">
        <v>35</v>
      </c>
      <c r="AU45" s="44" t="s">
        <v>663</v>
      </c>
    </row>
    <row r="46" spans="1:47" ht="86.4" x14ac:dyDescent="0.3">
      <c r="A46" s="14">
        <v>45</v>
      </c>
      <c r="B46" s="14"/>
      <c r="C46" s="14" t="s">
        <v>565</v>
      </c>
      <c r="D46" s="14" t="s">
        <v>70</v>
      </c>
      <c r="E46" s="14">
        <v>1</v>
      </c>
      <c r="F46" s="42" t="s">
        <v>557</v>
      </c>
      <c r="G46" s="14">
        <v>701</v>
      </c>
      <c r="H46" s="14">
        <v>1</v>
      </c>
      <c r="I46" s="14" t="s">
        <v>664</v>
      </c>
      <c r="J46" s="14" t="s">
        <v>35</v>
      </c>
      <c r="K46" s="14" t="s">
        <v>780</v>
      </c>
      <c r="L46" s="42" t="s">
        <v>710</v>
      </c>
      <c r="M46" s="42" t="s">
        <v>572</v>
      </c>
      <c r="N46" s="14" t="s">
        <v>268</v>
      </c>
      <c r="O46" s="14" t="s">
        <v>268</v>
      </c>
      <c r="P46" s="43" t="s">
        <v>550</v>
      </c>
      <c r="Q46" s="14" t="s">
        <v>550</v>
      </c>
      <c r="R46" s="14" t="s">
        <v>33</v>
      </c>
      <c r="S46" s="14">
        <v>1</v>
      </c>
      <c r="T46" s="14">
        <v>1</v>
      </c>
      <c r="U46" s="14">
        <v>1</v>
      </c>
      <c r="V46" s="14">
        <v>1</v>
      </c>
      <c r="W46" s="34">
        <v>100000</v>
      </c>
      <c r="X46" s="57">
        <v>0</v>
      </c>
      <c r="Y46" s="34">
        <v>100000</v>
      </c>
      <c r="Z46" s="57">
        <v>100000</v>
      </c>
      <c r="AA46" s="33"/>
      <c r="AB46" s="42" t="s">
        <v>653</v>
      </c>
      <c r="AD46" s="33"/>
      <c r="AE46" s="35">
        <v>1.5</v>
      </c>
      <c r="AF46" s="34">
        <v>150000</v>
      </c>
      <c r="AG46" s="34">
        <v>150000</v>
      </c>
      <c r="AH46" s="33">
        <v>0</v>
      </c>
      <c r="AI46" s="33">
        <v>0</v>
      </c>
      <c r="AJ46" s="33"/>
      <c r="AK46">
        <v>0.22</v>
      </c>
      <c r="AL46" s="34">
        <v>150000</v>
      </c>
      <c r="AM46" s="57">
        <v>33000</v>
      </c>
      <c r="AN46">
        <v>183000</v>
      </c>
      <c r="AO46" s="34">
        <v>150000</v>
      </c>
      <c r="AP46" s="57">
        <v>33000</v>
      </c>
      <c r="AQ46">
        <v>183000</v>
      </c>
      <c r="AR46" s="33">
        <v>14</v>
      </c>
      <c r="AS46" s="14" t="s">
        <v>35</v>
      </c>
      <c r="AT46" s="14" t="s">
        <v>35</v>
      </c>
      <c r="AU46" s="44"/>
    </row>
    <row r="47" spans="1:47" ht="86.4" x14ac:dyDescent="0.3">
      <c r="A47" s="14">
        <v>46</v>
      </c>
      <c r="B47" s="14"/>
      <c r="C47" s="14" t="s">
        <v>565</v>
      </c>
      <c r="D47" s="14" t="s">
        <v>70</v>
      </c>
      <c r="E47" s="14">
        <v>1</v>
      </c>
      <c r="F47" s="42" t="s">
        <v>560</v>
      </c>
      <c r="G47" s="14">
        <v>701</v>
      </c>
      <c r="H47" s="14">
        <v>2</v>
      </c>
      <c r="I47" s="14" t="s">
        <v>665</v>
      </c>
      <c r="J47" s="14" t="s">
        <v>35</v>
      </c>
      <c r="K47" s="14" t="s">
        <v>768</v>
      </c>
      <c r="L47" s="42" t="s">
        <v>711</v>
      </c>
      <c r="M47" s="42" t="s">
        <v>573</v>
      </c>
      <c r="N47" s="14" t="s">
        <v>268</v>
      </c>
      <c r="O47" s="14" t="s">
        <v>268</v>
      </c>
      <c r="P47" s="43" t="s">
        <v>550</v>
      </c>
      <c r="Q47" s="14" t="s">
        <v>550</v>
      </c>
      <c r="R47" s="14" t="s">
        <v>33</v>
      </c>
      <c r="S47" s="14">
        <v>1</v>
      </c>
      <c r="T47" s="14">
        <v>1</v>
      </c>
      <c r="U47" s="14">
        <v>1</v>
      </c>
      <c r="V47" s="14">
        <v>1</v>
      </c>
      <c r="W47" s="34">
        <v>20000</v>
      </c>
      <c r="X47" s="57">
        <v>0</v>
      </c>
      <c r="Y47" s="34">
        <v>20000</v>
      </c>
      <c r="Z47" s="57">
        <v>20000</v>
      </c>
      <c r="AA47" s="33"/>
      <c r="AB47" s="42" t="s">
        <v>653</v>
      </c>
      <c r="AD47" s="33"/>
      <c r="AE47" s="35">
        <v>1.5</v>
      </c>
      <c r="AF47" s="34">
        <v>30000</v>
      </c>
      <c r="AG47" s="34">
        <v>30000</v>
      </c>
      <c r="AH47" s="33">
        <v>0</v>
      </c>
      <c r="AI47" s="33">
        <v>0</v>
      </c>
      <c r="AJ47" s="33"/>
      <c r="AK47">
        <v>0.22</v>
      </c>
      <c r="AL47" s="34">
        <v>30000</v>
      </c>
      <c r="AM47" s="57">
        <v>6600</v>
      </c>
      <c r="AN47">
        <v>36600</v>
      </c>
      <c r="AO47" s="34">
        <v>30000</v>
      </c>
      <c r="AP47" s="57">
        <v>6600</v>
      </c>
      <c r="AQ47">
        <v>36600</v>
      </c>
      <c r="AR47" s="33">
        <v>7</v>
      </c>
      <c r="AS47" s="14" t="s">
        <v>35</v>
      </c>
      <c r="AT47" s="14" t="s">
        <v>35</v>
      </c>
      <c r="AU47" s="44"/>
    </row>
    <row r="48" spans="1:47" ht="72" x14ac:dyDescent="0.3">
      <c r="A48" s="14">
        <v>47</v>
      </c>
      <c r="B48" s="14"/>
      <c r="C48" s="14" t="s">
        <v>565</v>
      </c>
      <c r="D48" s="14" t="s">
        <v>70</v>
      </c>
      <c r="E48" s="14">
        <v>1</v>
      </c>
      <c r="F48" s="42" t="s">
        <v>557</v>
      </c>
      <c r="G48" s="14">
        <v>701</v>
      </c>
      <c r="H48" s="14">
        <v>3</v>
      </c>
      <c r="I48" s="14" t="s">
        <v>666</v>
      </c>
      <c r="J48" s="14" t="s">
        <v>35</v>
      </c>
      <c r="K48" s="14" t="s">
        <v>781</v>
      </c>
      <c r="L48" s="42" t="s">
        <v>712</v>
      </c>
      <c r="M48" s="42" t="s">
        <v>566</v>
      </c>
      <c r="N48" s="14" t="s">
        <v>268</v>
      </c>
      <c r="O48" s="14" t="s">
        <v>268</v>
      </c>
      <c r="P48" s="43" t="s">
        <v>550</v>
      </c>
      <c r="Q48" s="14" t="s">
        <v>550</v>
      </c>
      <c r="R48" s="14" t="s">
        <v>33</v>
      </c>
      <c r="S48" s="14">
        <v>1</v>
      </c>
      <c r="T48" s="14">
        <v>1</v>
      </c>
      <c r="U48" s="14">
        <v>1</v>
      </c>
      <c r="V48" s="14">
        <v>1</v>
      </c>
      <c r="W48" s="34">
        <v>20000</v>
      </c>
      <c r="X48" s="57">
        <v>0</v>
      </c>
      <c r="Y48" s="34">
        <v>20000</v>
      </c>
      <c r="Z48" s="57">
        <v>20000</v>
      </c>
      <c r="AA48" s="33"/>
      <c r="AB48" s="42" t="s">
        <v>653</v>
      </c>
      <c r="AD48" s="33"/>
      <c r="AE48" s="35">
        <v>1.5</v>
      </c>
      <c r="AF48" s="34">
        <v>30000</v>
      </c>
      <c r="AG48" s="34">
        <v>30000</v>
      </c>
      <c r="AH48" s="33">
        <v>0</v>
      </c>
      <c r="AI48" s="33">
        <v>0</v>
      </c>
      <c r="AJ48" s="33"/>
      <c r="AK48">
        <v>0.22</v>
      </c>
      <c r="AL48" s="34">
        <v>30000</v>
      </c>
      <c r="AM48" s="57">
        <v>6600</v>
      </c>
      <c r="AN48">
        <v>36600</v>
      </c>
      <c r="AO48" s="34">
        <v>30000</v>
      </c>
      <c r="AP48" s="57">
        <v>6600</v>
      </c>
      <c r="AQ48">
        <v>36600</v>
      </c>
      <c r="AR48" s="33">
        <v>7</v>
      </c>
      <c r="AS48" s="14" t="s">
        <v>35</v>
      </c>
      <c r="AT48" s="14" t="s">
        <v>35</v>
      </c>
      <c r="AU48" s="44"/>
    </row>
    <row r="49" spans="1:47" ht="72" x14ac:dyDescent="0.3">
      <c r="A49" s="14">
        <v>48</v>
      </c>
      <c r="B49" s="14"/>
      <c r="C49" s="14" t="s">
        <v>565</v>
      </c>
      <c r="D49" s="14" t="s">
        <v>70</v>
      </c>
      <c r="E49" s="14">
        <v>1</v>
      </c>
      <c r="F49" s="42" t="s">
        <v>561</v>
      </c>
      <c r="G49" s="14">
        <v>702</v>
      </c>
      <c r="H49" s="14">
        <v>1</v>
      </c>
      <c r="I49" s="14" t="s">
        <v>667</v>
      </c>
      <c r="J49" s="14" t="s">
        <v>35</v>
      </c>
      <c r="K49" s="14" t="s">
        <v>782</v>
      </c>
      <c r="L49" s="42" t="s">
        <v>713</v>
      </c>
      <c r="M49" s="42" t="s">
        <v>563</v>
      </c>
      <c r="N49" s="14" t="s">
        <v>268</v>
      </c>
      <c r="O49" s="14" t="s">
        <v>268</v>
      </c>
      <c r="P49" s="43" t="s">
        <v>550</v>
      </c>
      <c r="Q49" s="14" t="s">
        <v>550</v>
      </c>
      <c r="R49" s="14" t="s">
        <v>33</v>
      </c>
      <c r="S49" s="14">
        <v>1</v>
      </c>
      <c r="T49" s="14">
        <v>1</v>
      </c>
      <c r="U49" s="14">
        <v>1</v>
      </c>
      <c r="V49" s="14">
        <v>1</v>
      </c>
      <c r="W49" s="34">
        <v>800000</v>
      </c>
      <c r="X49" s="57">
        <v>0</v>
      </c>
      <c r="Y49" s="34">
        <v>800000</v>
      </c>
      <c r="Z49" s="57">
        <v>800000</v>
      </c>
      <c r="AA49" s="33"/>
      <c r="AB49" s="42" t="s">
        <v>654</v>
      </c>
      <c r="AD49" s="33"/>
      <c r="AE49" s="35">
        <v>3.2</v>
      </c>
      <c r="AF49" s="34">
        <v>2560000</v>
      </c>
      <c r="AG49" s="34">
        <v>2560000</v>
      </c>
      <c r="AH49" s="33">
        <v>0</v>
      </c>
      <c r="AI49" s="33">
        <v>0</v>
      </c>
      <c r="AJ49" s="33"/>
      <c r="AK49">
        <v>0.22</v>
      </c>
      <c r="AL49" s="34">
        <v>2560000</v>
      </c>
      <c r="AM49" s="57">
        <v>563200</v>
      </c>
      <c r="AN49">
        <v>3123200</v>
      </c>
      <c r="AO49" s="34">
        <v>2560000</v>
      </c>
      <c r="AP49" s="57">
        <v>563200</v>
      </c>
      <c r="AQ49">
        <v>3123200</v>
      </c>
      <c r="AR49" s="33">
        <v>108</v>
      </c>
      <c r="AS49" s="14" t="s">
        <v>35</v>
      </c>
      <c r="AT49" s="14" t="s">
        <v>35</v>
      </c>
      <c r="AU49" s="44"/>
    </row>
    <row r="50" spans="1:47" ht="115.2" x14ac:dyDescent="0.3">
      <c r="A50" s="14">
        <v>49</v>
      </c>
      <c r="B50" s="14"/>
      <c r="C50" s="14" t="s">
        <v>565</v>
      </c>
      <c r="D50" s="14" t="s">
        <v>70</v>
      </c>
      <c r="E50" s="14">
        <v>1</v>
      </c>
      <c r="F50" s="42" t="s">
        <v>562</v>
      </c>
      <c r="G50" s="14">
        <v>703</v>
      </c>
      <c r="H50" s="14">
        <v>1</v>
      </c>
      <c r="I50" s="14" t="s">
        <v>668</v>
      </c>
      <c r="J50" s="14" t="s">
        <v>35</v>
      </c>
      <c r="K50" s="14" t="s">
        <v>769</v>
      </c>
      <c r="L50" s="42" t="s">
        <v>714</v>
      </c>
      <c r="M50" s="42" t="s">
        <v>564</v>
      </c>
      <c r="N50" s="14" t="s">
        <v>268</v>
      </c>
      <c r="O50" s="14" t="s">
        <v>268</v>
      </c>
      <c r="P50" s="43" t="s">
        <v>550</v>
      </c>
      <c r="Q50" s="14" t="s">
        <v>550</v>
      </c>
      <c r="R50" s="14" t="s">
        <v>33</v>
      </c>
      <c r="S50" s="14">
        <v>1</v>
      </c>
      <c r="T50" s="14">
        <v>1</v>
      </c>
      <c r="U50" s="14">
        <v>1</v>
      </c>
      <c r="V50" s="14">
        <v>1</v>
      </c>
      <c r="W50" s="34">
        <v>300000</v>
      </c>
      <c r="X50" s="57">
        <v>0</v>
      </c>
      <c r="Y50" s="34">
        <v>300000</v>
      </c>
      <c r="Z50" s="57">
        <v>300000</v>
      </c>
      <c r="AA50" s="33"/>
      <c r="AB50" s="42" t="s">
        <v>655</v>
      </c>
      <c r="AD50" s="33"/>
      <c r="AE50" s="35">
        <v>1.17</v>
      </c>
      <c r="AF50" s="34">
        <v>351000</v>
      </c>
      <c r="AG50" s="34">
        <v>351000</v>
      </c>
      <c r="AH50" s="33">
        <v>0</v>
      </c>
      <c r="AI50" s="33">
        <v>0</v>
      </c>
      <c r="AJ50" s="33"/>
      <c r="AK50">
        <v>0.22</v>
      </c>
      <c r="AL50" s="34">
        <v>351000</v>
      </c>
      <c r="AM50" s="57">
        <v>77220</v>
      </c>
      <c r="AN50">
        <v>428220</v>
      </c>
      <c r="AO50" s="34">
        <v>351000</v>
      </c>
      <c r="AP50" s="57">
        <v>77220</v>
      </c>
      <c r="AQ50">
        <v>428220</v>
      </c>
      <c r="AR50" s="33">
        <v>14</v>
      </c>
      <c r="AS50" s="14" t="s">
        <v>35</v>
      </c>
      <c r="AT50" s="14" t="s">
        <v>35</v>
      </c>
      <c r="AU50" s="44" t="s">
        <v>663</v>
      </c>
    </row>
    <row r="51" spans="1:47" ht="72" x14ac:dyDescent="0.3">
      <c r="A51" s="14">
        <v>50</v>
      </c>
      <c r="B51" s="14"/>
      <c r="C51" s="14" t="s">
        <v>565</v>
      </c>
      <c r="D51" s="14" t="s">
        <v>70</v>
      </c>
      <c r="E51" s="14">
        <v>1</v>
      </c>
      <c r="F51" s="42" t="s">
        <v>689</v>
      </c>
      <c r="G51" s="14">
        <v>104</v>
      </c>
      <c r="H51" s="14">
        <v>1</v>
      </c>
      <c r="I51" s="14" t="s">
        <v>716</v>
      </c>
      <c r="J51" s="14" t="s">
        <v>35</v>
      </c>
      <c r="K51" s="14" t="s">
        <v>783</v>
      </c>
      <c r="L51" s="42" t="s">
        <v>686</v>
      </c>
      <c r="M51" s="42" t="s">
        <v>688</v>
      </c>
      <c r="N51" s="14" t="s">
        <v>268</v>
      </c>
      <c r="O51" s="14" t="s">
        <v>268</v>
      </c>
      <c r="P51" s="43" t="s">
        <v>550</v>
      </c>
      <c r="Q51" s="14" t="s">
        <v>550</v>
      </c>
      <c r="R51" s="14" t="s">
        <v>33</v>
      </c>
      <c r="S51" s="14">
        <v>1</v>
      </c>
      <c r="T51" s="14">
        <v>1</v>
      </c>
      <c r="U51" s="14">
        <v>1</v>
      </c>
      <c r="V51" s="14">
        <v>1</v>
      </c>
      <c r="W51" s="34">
        <v>33300</v>
      </c>
      <c r="X51" s="57">
        <v>0</v>
      </c>
      <c r="Y51" s="34">
        <v>33300</v>
      </c>
      <c r="Z51" s="57">
        <v>33300</v>
      </c>
      <c r="AA51" s="33"/>
      <c r="AB51" s="42" t="s">
        <v>747</v>
      </c>
      <c r="AD51" s="33"/>
      <c r="AE51" s="35">
        <v>1</v>
      </c>
      <c r="AF51" s="34">
        <v>33300</v>
      </c>
      <c r="AG51" s="34">
        <v>33300</v>
      </c>
      <c r="AH51" s="33">
        <v>0</v>
      </c>
      <c r="AI51" s="33">
        <v>0</v>
      </c>
      <c r="AJ51" s="33"/>
      <c r="AK51">
        <v>0.22</v>
      </c>
      <c r="AL51" s="34">
        <v>33300</v>
      </c>
      <c r="AM51" s="57">
        <v>7326</v>
      </c>
      <c r="AN51">
        <v>40626</v>
      </c>
      <c r="AO51" s="34">
        <v>33300</v>
      </c>
      <c r="AP51" s="57">
        <v>7326</v>
      </c>
      <c r="AQ51">
        <v>40626</v>
      </c>
      <c r="AR51" s="33">
        <v>7</v>
      </c>
      <c r="AS51" s="14" t="s">
        <v>35</v>
      </c>
      <c r="AT51" s="14" t="s">
        <v>35</v>
      </c>
      <c r="AU51" s="44"/>
    </row>
    <row r="52" spans="1:47" ht="28.8" x14ac:dyDescent="0.3">
      <c r="A52" s="14">
        <v>51</v>
      </c>
      <c r="B52" s="14"/>
      <c r="C52" s="14" t="s">
        <v>565</v>
      </c>
      <c r="D52" s="14" t="s">
        <v>70</v>
      </c>
      <c r="E52" s="14">
        <v>1</v>
      </c>
      <c r="F52" s="42" t="s">
        <v>689</v>
      </c>
      <c r="G52" s="14">
        <v>204</v>
      </c>
      <c r="H52" s="14">
        <v>1</v>
      </c>
      <c r="I52" s="14" t="s">
        <v>717</v>
      </c>
      <c r="J52" s="14" t="s">
        <v>29</v>
      </c>
      <c r="K52" s="14" t="s">
        <v>718</v>
      </c>
      <c r="L52" s="42" t="s">
        <v>690</v>
      </c>
      <c r="M52" s="42" t="s">
        <v>688</v>
      </c>
      <c r="N52" s="14" t="s">
        <v>268</v>
      </c>
      <c r="O52" s="14" t="s">
        <v>268</v>
      </c>
      <c r="P52" s="43" t="s">
        <v>550</v>
      </c>
      <c r="Q52" s="14" t="s">
        <v>550</v>
      </c>
      <c r="R52" s="14" t="s">
        <v>33</v>
      </c>
      <c r="S52" s="14">
        <v>1</v>
      </c>
      <c r="T52" s="14">
        <v>1</v>
      </c>
      <c r="U52" s="14">
        <v>1</v>
      </c>
      <c r="V52" s="14">
        <v>1</v>
      </c>
      <c r="W52" s="34">
        <v>33300</v>
      </c>
      <c r="X52" s="57">
        <v>0</v>
      </c>
      <c r="Y52" s="34">
        <v>33330</v>
      </c>
      <c r="Z52" s="57">
        <v>33330</v>
      </c>
      <c r="AA52" s="33"/>
      <c r="AB52" s="42" t="s">
        <v>687</v>
      </c>
      <c r="AD52" s="33"/>
      <c r="AE52" s="35">
        <v>1</v>
      </c>
      <c r="AF52" s="34">
        <v>33300</v>
      </c>
      <c r="AG52" s="34">
        <v>33300</v>
      </c>
      <c r="AH52" s="33">
        <v>0</v>
      </c>
      <c r="AI52" s="33">
        <v>0</v>
      </c>
      <c r="AJ52" s="33"/>
      <c r="AK52">
        <v>0.22</v>
      </c>
      <c r="AL52" s="34">
        <v>33300</v>
      </c>
      <c r="AM52" s="57">
        <v>7326</v>
      </c>
      <c r="AN52">
        <v>40626</v>
      </c>
      <c r="AO52" s="34">
        <v>33300</v>
      </c>
      <c r="AP52" s="57">
        <v>7326</v>
      </c>
      <c r="AQ52">
        <v>40626</v>
      </c>
      <c r="AR52" s="33">
        <v>7</v>
      </c>
      <c r="AS52" s="14" t="s">
        <v>29</v>
      </c>
      <c r="AT52" s="14" t="s">
        <v>35</v>
      </c>
      <c r="AU52" s="44"/>
    </row>
    <row r="53" spans="1:47" ht="28.8" x14ac:dyDescent="0.3">
      <c r="A53" s="14">
        <v>52</v>
      </c>
      <c r="B53" s="14"/>
      <c r="C53" s="14" t="s">
        <v>565</v>
      </c>
      <c r="D53" s="14" t="s">
        <v>70</v>
      </c>
      <c r="E53" s="14">
        <v>1</v>
      </c>
      <c r="F53" s="42" t="s">
        <v>689</v>
      </c>
      <c r="G53" s="14">
        <v>304</v>
      </c>
      <c r="H53" s="14">
        <v>1</v>
      </c>
      <c r="I53" s="14" t="s">
        <v>719</v>
      </c>
      <c r="J53" s="14" t="s">
        <v>29</v>
      </c>
      <c r="K53" s="14" t="s">
        <v>720</v>
      </c>
      <c r="L53" s="42" t="s">
        <v>691</v>
      </c>
      <c r="M53" s="42" t="s">
        <v>688</v>
      </c>
      <c r="N53" s="14" t="s">
        <v>268</v>
      </c>
      <c r="O53" s="14" t="s">
        <v>268</v>
      </c>
      <c r="P53" s="43" t="s">
        <v>550</v>
      </c>
      <c r="Q53" s="14" t="s">
        <v>550</v>
      </c>
      <c r="R53" s="14" t="s">
        <v>33</v>
      </c>
      <c r="S53" s="14">
        <v>1</v>
      </c>
      <c r="T53" s="14">
        <v>1</v>
      </c>
      <c r="U53" s="14">
        <v>1</v>
      </c>
      <c r="V53" s="14">
        <v>1</v>
      </c>
      <c r="W53" s="34">
        <v>33300</v>
      </c>
      <c r="X53" s="57">
        <v>0</v>
      </c>
      <c r="Y53" s="34">
        <v>33330</v>
      </c>
      <c r="Z53" s="57">
        <v>33330</v>
      </c>
      <c r="AA53" s="33"/>
      <c r="AB53" s="42" t="s">
        <v>687</v>
      </c>
      <c r="AD53" s="33"/>
      <c r="AE53" s="35">
        <v>1</v>
      </c>
      <c r="AF53" s="34">
        <v>33300</v>
      </c>
      <c r="AG53" s="34">
        <v>33300</v>
      </c>
      <c r="AH53" s="33">
        <v>0</v>
      </c>
      <c r="AI53" s="33">
        <v>0</v>
      </c>
      <c r="AJ53" s="33"/>
      <c r="AK53">
        <v>0.22</v>
      </c>
      <c r="AL53" s="34">
        <v>33300</v>
      </c>
      <c r="AM53" s="57">
        <v>7326</v>
      </c>
      <c r="AN53">
        <v>40626</v>
      </c>
      <c r="AO53" s="34">
        <v>33300</v>
      </c>
      <c r="AP53" s="57">
        <v>7326</v>
      </c>
      <c r="AQ53">
        <v>40626</v>
      </c>
      <c r="AR53" s="33">
        <v>7</v>
      </c>
      <c r="AS53" s="14" t="s">
        <v>29</v>
      </c>
      <c r="AT53" s="14" t="s">
        <v>35</v>
      </c>
      <c r="AU53" s="44"/>
    </row>
    <row r="54" spans="1:47" ht="28.8" x14ac:dyDescent="0.3">
      <c r="A54" s="14">
        <v>53</v>
      </c>
      <c r="B54" s="14"/>
      <c r="C54" s="14" t="s">
        <v>565</v>
      </c>
      <c r="D54" s="14" t="s">
        <v>70</v>
      </c>
      <c r="E54" s="14">
        <v>1</v>
      </c>
      <c r="F54" s="42" t="s">
        <v>689</v>
      </c>
      <c r="G54" s="14">
        <v>404</v>
      </c>
      <c r="H54" s="14">
        <v>1</v>
      </c>
      <c r="I54" s="14" t="s">
        <v>721</v>
      </c>
      <c r="J54" s="14" t="s">
        <v>29</v>
      </c>
      <c r="K54" s="14" t="s">
        <v>722</v>
      </c>
      <c r="L54" s="42" t="s">
        <v>692</v>
      </c>
      <c r="M54" s="42" t="s">
        <v>688</v>
      </c>
      <c r="N54" s="14" t="s">
        <v>268</v>
      </c>
      <c r="O54" s="14" t="s">
        <v>268</v>
      </c>
      <c r="P54" s="43" t="s">
        <v>550</v>
      </c>
      <c r="Q54" s="14" t="s">
        <v>550</v>
      </c>
      <c r="R54" s="14" t="s">
        <v>33</v>
      </c>
      <c r="S54" s="14">
        <v>1</v>
      </c>
      <c r="T54" s="14">
        <v>1</v>
      </c>
      <c r="U54" s="14">
        <v>1</v>
      </c>
      <c r="V54" s="14">
        <v>1</v>
      </c>
      <c r="W54" s="34">
        <v>33300</v>
      </c>
      <c r="X54" s="57">
        <v>0</v>
      </c>
      <c r="Y54" s="34">
        <v>33300</v>
      </c>
      <c r="Z54" s="57">
        <v>33300</v>
      </c>
      <c r="AA54" s="33"/>
      <c r="AB54" s="42" t="s">
        <v>687</v>
      </c>
      <c r="AD54" s="33"/>
      <c r="AE54" s="35">
        <v>1</v>
      </c>
      <c r="AF54" s="34">
        <v>33300</v>
      </c>
      <c r="AG54" s="34">
        <v>33300</v>
      </c>
      <c r="AH54" s="33">
        <v>0</v>
      </c>
      <c r="AI54" s="33">
        <v>0</v>
      </c>
      <c r="AJ54" s="33"/>
      <c r="AK54">
        <v>0.22</v>
      </c>
      <c r="AL54" s="34">
        <v>33300</v>
      </c>
      <c r="AM54" s="57">
        <v>7326</v>
      </c>
      <c r="AN54">
        <v>40626</v>
      </c>
      <c r="AO54" s="34">
        <v>33300</v>
      </c>
      <c r="AP54" s="57">
        <v>7326</v>
      </c>
      <c r="AQ54">
        <v>40626</v>
      </c>
      <c r="AR54" s="33">
        <v>7</v>
      </c>
      <c r="AS54" s="14" t="s">
        <v>29</v>
      </c>
      <c r="AT54" s="14" t="s">
        <v>35</v>
      </c>
      <c r="AU54" s="44"/>
    </row>
    <row r="55" spans="1:47" ht="28.8" x14ac:dyDescent="0.3">
      <c r="A55" s="14">
        <v>54</v>
      </c>
      <c r="B55" s="14"/>
      <c r="C55" s="14" t="s">
        <v>565</v>
      </c>
      <c r="D55" s="14" t="s">
        <v>70</v>
      </c>
      <c r="E55" s="14">
        <v>1</v>
      </c>
      <c r="F55" s="42" t="s">
        <v>689</v>
      </c>
      <c r="G55" s="14">
        <v>504</v>
      </c>
      <c r="H55" s="14">
        <v>1</v>
      </c>
      <c r="I55" s="14" t="s">
        <v>723</v>
      </c>
      <c r="J55" s="14" t="s">
        <v>35</v>
      </c>
      <c r="K55" s="14" t="s">
        <v>784</v>
      </c>
      <c r="L55" s="42" t="s">
        <v>703</v>
      </c>
      <c r="M55" s="42" t="s">
        <v>688</v>
      </c>
      <c r="N55" s="14" t="s">
        <v>268</v>
      </c>
      <c r="O55" s="14" t="s">
        <v>268</v>
      </c>
      <c r="P55" s="43" t="s">
        <v>550</v>
      </c>
      <c r="Q55" s="14" t="s">
        <v>550</v>
      </c>
      <c r="R55" s="14" t="s">
        <v>33</v>
      </c>
      <c r="S55" s="14">
        <v>1</v>
      </c>
      <c r="T55" s="14">
        <v>1</v>
      </c>
      <c r="U55" s="14">
        <v>1</v>
      </c>
      <c r="V55" s="14">
        <v>1</v>
      </c>
      <c r="W55" s="34">
        <v>33300</v>
      </c>
      <c r="X55" s="57">
        <v>0</v>
      </c>
      <c r="Y55" s="34">
        <v>33300</v>
      </c>
      <c r="Z55" s="57">
        <v>33300</v>
      </c>
      <c r="AA55" s="33"/>
      <c r="AB55" s="42" t="s">
        <v>687</v>
      </c>
      <c r="AD55" s="33"/>
      <c r="AE55" s="35">
        <v>1</v>
      </c>
      <c r="AF55" s="34">
        <v>33300</v>
      </c>
      <c r="AG55" s="34">
        <v>33300</v>
      </c>
      <c r="AH55" s="33">
        <v>0</v>
      </c>
      <c r="AI55" s="33">
        <v>0</v>
      </c>
      <c r="AJ55" s="33"/>
      <c r="AK55">
        <v>0.22</v>
      </c>
      <c r="AL55" s="34">
        <v>33300</v>
      </c>
      <c r="AM55" s="57">
        <v>7326</v>
      </c>
      <c r="AN55">
        <v>40626</v>
      </c>
      <c r="AO55" s="34">
        <v>33300</v>
      </c>
      <c r="AP55" s="57">
        <v>7326</v>
      </c>
      <c r="AQ55">
        <v>40626</v>
      </c>
      <c r="AR55" s="33">
        <v>7</v>
      </c>
      <c r="AS55" s="14" t="s">
        <v>35</v>
      </c>
      <c r="AT55" s="14" t="s">
        <v>35</v>
      </c>
      <c r="AU55" s="44"/>
    </row>
    <row r="56" spans="1:47" ht="28.8" x14ac:dyDescent="0.3">
      <c r="A56" s="14">
        <v>55</v>
      </c>
      <c r="B56" s="14"/>
      <c r="C56" s="14" t="s">
        <v>565</v>
      </c>
      <c r="D56" s="14" t="s">
        <v>70</v>
      </c>
      <c r="E56" s="14">
        <v>1</v>
      </c>
      <c r="F56" s="42" t="s">
        <v>689</v>
      </c>
      <c r="G56" s="14">
        <v>604</v>
      </c>
      <c r="H56" s="14">
        <v>1</v>
      </c>
      <c r="I56" s="14" t="s">
        <v>724</v>
      </c>
      <c r="J56" s="14" t="s">
        <v>29</v>
      </c>
      <c r="K56" s="14" t="s">
        <v>725</v>
      </c>
      <c r="L56" s="42" t="s">
        <v>709</v>
      </c>
      <c r="M56" s="42" t="s">
        <v>688</v>
      </c>
      <c r="N56" s="14" t="s">
        <v>268</v>
      </c>
      <c r="O56" s="14" t="s">
        <v>268</v>
      </c>
      <c r="P56" s="43" t="s">
        <v>550</v>
      </c>
      <c r="Q56" s="14" t="s">
        <v>550</v>
      </c>
      <c r="R56" s="14" t="s">
        <v>33</v>
      </c>
      <c r="S56" s="14">
        <v>1</v>
      </c>
      <c r="T56" s="14">
        <v>1</v>
      </c>
      <c r="U56" s="14">
        <v>1</v>
      </c>
      <c r="V56" s="14">
        <v>1</v>
      </c>
      <c r="W56" s="34">
        <v>33300</v>
      </c>
      <c r="X56" s="57">
        <v>0</v>
      </c>
      <c r="Y56" s="34">
        <v>33300</v>
      </c>
      <c r="Z56" s="57">
        <v>33300</v>
      </c>
      <c r="AA56" s="33"/>
      <c r="AB56" s="42" t="s">
        <v>687</v>
      </c>
      <c r="AD56" s="33"/>
      <c r="AE56" s="35">
        <v>1</v>
      </c>
      <c r="AF56" s="34">
        <v>33300</v>
      </c>
      <c r="AG56" s="34">
        <v>33300</v>
      </c>
      <c r="AH56" s="33">
        <v>0</v>
      </c>
      <c r="AI56" s="33">
        <v>0</v>
      </c>
      <c r="AJ56" s="33"/>
      <c r="AK56">
        <v>0.22</v>
      </c>
      <c r="AL56" s="34">
        <v>33300</v>
      </c>
      <c r="AM56" s="57">
        <v>7326</v>
      </c>
      <c r="AN56">
        <v>40626</v>
      </c>
      <c r="AO56" s="34">
        <v>33300</v>
      </c>
      <c r="AP56" s="57">
        <v>7326</v>
      </c>
      <c r="AQ56">
        <v>40626</v>
      </c>
      <c r="AR56" s="33">
        <v>7</v>
      </c>
      <c r="AS56" s="14" t="s">
        <v>29</v>
      </c>
      <c r="AT56" s="14" t="s">
        <v>35</v>
      </c>
      <c r="AU56" s="44"/>
    </row>
    <row r="57" spans="1:47" ht="28.8" x14ac:dyDescent="0.3">
      <c r="A57" s="14">
        <v>56</v>
      </c>
      <c r="B57" s="14"/>
      <c r="C57" s="14" t="s">
        <v>565</v>
      </c>
      <c r="D57" s="14" t="s">
        <v>70</v>
      </c>
      <c r="E57" s="14">
        <v>1</v>
      </c>
      <c r="F57" s="42" t="s">
        <v>689</v>
      </c>
      <c r="G57" s="14">
        <v>704</v>
      </c>
      <c r="H57" s="14">
        <v>1</v>
      </c>
      <c r="I57" s="14" t="s">
        <v>726</v>
      </c>
      <c r="J57" s="14" t="s">
        <v>35</v>
      </c>
      <c r="K57" s="14" t="s">
        <v>785</v>
      </c>
      <c r="L57" s="42" t="s">
        <v>715</v>
      </c>
      <c r="M57" s="42" t="s">
        <v>688</v>
      </c>
      <c r="N57" s="14" t="s">
        <v>268</v>
      </c>
      <c r="O57" s="14" t="s">
        <v>268</v>
      </c>
      <c r="P57" s="43" t="s">
        <v>550</v>
      </c>
      <c r="Q57" s="14" t="s">
        <v>550</v>
      </c>
      <c r="R57" s="14" t="s">
        <v>33</v>
      </c>
      <c r="S57" s="14">
        <v>1</v>
      </c>
      <c r="T57" s="14">
        <v>1</v>
      </c>
      <c r="U57" s="14">
        <v>1</v>
      </c>
      <c r="V57" s="14">
        <v>1</v>
      </c>
      <c r="W57" s="34">
        <v>33300</v>
      </c>
      <c r="X57" s="57">
        <v>0</v>
      </c>
      <c r="Y57" s="34">
        <v>33300</v>
      </c>
      <c r="Z57" s="57">
        <v>33300</v>
      </c>
      <c r="AA57" s="33"/>
      <c r="AB57" s="42" t="s">
        <v>687</v>
      </c>
      <c r="AD57" s="33"/>
      <c r="AE57" s="35">
        <v>1</v>
      </c>
      <c r="AF57" s="34">
        <v>33300</v>
      </c>
      <c r="AG57" s="34">
        <v>33300</v>
      </c>
      <c r="AH57" s="33">
        <v>0</v>
      </c>
      <c r="AI57" s="33">
        <v>0</v>
      </c>
      <c r="AJ57" s="33"/>
      <c r="AK57">
        <v>0.22</v>
      </c>
      <c r="AL57" s="34">
        <v>33300</v>
      </c>
      <c r="AM57" s="57">
        <v>7326</v>
      </c>
      <c r="AN57">
        <v>40626</v>
      </c>
      <c r="AO57" s="34">
        <v>33300</v>
      </c>
      <c r="AP57" s="57">
        <v>7326</v>
      </c>
      <c r="AQ57">
        <v>40626</v>
      </c>
      <c r="AR57" s="33">
        <v>7</v>
      </c>
      <c r="AS57" s="14" t="s">
        <v>35</v>
      </c>
      <c r="AT57" s="14" t="s">
        <v>35</v>
      </c>
      <c r="AU57" s="44"/>
    </row>
    <row r="58" spans="1:47" ht="158.4" x14ac:dyDescent="0.3">
      <c r="A58" s="14">
        <v>57</v>
      </c>
      <c r="B58" s="14" t="s">
        <v>491</v>
      </c>
      <c r="C58" s="14" t="s">
        <v>492</v>
      </c>
      <c r="D58" s="14" t="s">
        <v>490</v>
      </c>
      <c r="E58" s="14">
        <v>2</v>
      </c>
      <c r="F58" s="42" t="s">
        <v>493</v>
      </c>
      <c r="G58" s="14">
        <v>101</v>
      </c>
      <c r="H58" s="14">
        <v>7</v>
      </c>
      <c r="I58" s="14" t="s">
        <v>588</v>
      </c>
      <c r="J58" s="14" t="s">
        <v>29</v>
      </c>
      <c r="K58" s="14" t="s">
        <v>735</v>
      </c>
      <c r="L58" s="42" t="s">
        <v>732</v>
      </c>
      <c r="M58" s="42" t="s">
        <v>733</v>
      </c>
      <c r="N58" s="14" t="s">
        <v>268</v>
      </c>
      <c r="O58" s="14" t="s">
        <v>268</v>
      </c>
      <c r="P58" s="43" t="s">
        <v>550</v>
      </c>
      <c r="Q58" s="14" t="s">
        <v>550</v>
      </c>
      <c r="R58" s="14" t="s">
        <v>33</v>
      </c>
      <c r="S58" s="14">
        <v>1</v>
      </c>
      <c r="T58" s="14">
        <v>1</v>
      </c>
      <c r="U58" s="14">
        <v>1</v>
      </c>
      <c r="V58" s="14">
        <v>1</v>
      </c>
      <c r="W58" s="34">
        <v>25000</v>
      </c>
      <c r="X58" s="57">
        <v>0</v>
      </c>
      <c r="Y58" s="34">
        <v>25000</v>
      </c>
      <c r="Z58" s="57">
        <v>25000</v>
      </c>
      <c r="AA58" s="33" t="s">
        <v>491</v>
      </c>
      <c r="AB58" s="42" t="s">
        <v>551</v>
      </c>
      <c r="AC58" t="s">
        <v>491</v>
      </c>
      <c r="AD58" s="33"/>
      <c r="AE58" s="35">
        <v>3</v>
      </c>
      <c r="AF58" s="34">
        <v>75000</v>
      </c>
      <c r="AG58" s="34">
        <v>75000</v>
      </c>
      <c r="AH58" s="33">
        <v>0</v>
      </c>
      <c r="AI58" s="33">
        <v>0</v>
      </c>
      <c r="AJ58" s="33"/>
      <c r="AK58">
        <v>0.22</v>
      </c>
      <c r="AL58" s="34">
        <v>75000</v>
      </c>
      <c r="AM58" s="57">
        <v>16500</v>
      </c>
      <c r="AN58">
        <v>91500</v>
      </c>
      <c r="AO58" s="34">
        <v>75000</v>
      </c>
      <c r="AP58" s="57">
        <v>16500</v>
      </c>
      <c r="AQ58">
        <v>91500</v>
      </c>
      <c r="AR58" s="33">
        <v>12</v>
      </c>
      <c r="AS58" s="14" t="s">
        <v>29</v>
      </c>
      <c r="AT58" s="14" t="s">
        <v>35</v>
      </c>
      <c r="AU58" s="44" t="s">
        <v>670</v>
      </c>
    </row>
    <row r="59" spans="1:47" ht="86.4" x14ac:dyDescent="0.3">
      <c r="A59" s="14">
        <v>58</v>
      </c>
      <c r="B59" s="14"/>
      <c r="C59" s="14" t="s">
        <v>565</v>
      </c>
      <c r="D59" s="14" t="s">
        <v>70</v>
      </c>
      <c r="E59" s="14">
        <v>2</v>
      </c>
      <c r="F59" s="42" t="s">
        <v>557</v>
      </c>
      <c r="G59" s="14">
        <v>501</v>
      </c>
      <c r="H59" s="14">
        <v>1</v>
      </c>
      <c r="I59" s="14" t="s">
        <v>637</v>
      </c>
      <c r="J59" s="14" t="s">
        <v>29</v>
      </c>
      <c r="K59" s="14" t="s">
        <v>786</v>
      </c>
      <c r="L59" s="42" t="s">
        <v>762</v>
      </c>
      <c r="M59" s="42" t="s">
        <v>572</v>
      </c>
      <c r="N59" s="14" t="s">
        <v>268</v>
      </c>
      <c r="O59" s="14" t="s">
        <v>268</v>
      </c>
      <c r="P59" s="43" t="s">
        <v>550</v>
      </c>
      <c r="Q59" s="14" t="s">
        <v>550</v>
      </c>
      <c r="R59" s="14" t="s">
        <v>33</v>
      </c>
      <c r="S59" s="14">
        <v>1</v>
      </c>
      <c r="T59" s="14">
        <v>1</v>
      </c>
      <c r="U59" s="14">
        <v>1</v>
      </c>
      <c r="V59" s="14">
        <v>1</v>
      </c>
      <c r="W59" s="34">
        <v>100000</v>
      </c>
      <c r="X59" s="57">
        <v>0</v>
      </c>
      <c r="Y59" s="34">
        <v>100000</v>
      </c>
      <c r="Z59" s="57">
        <v>100000</v>
      </c>
      <c r="AA59" s="33"/>
      <c r="AB59" s="42" t="s">
        <v>758</v>
      </c>
      <c r="AD59" s="33"/>
      <c r="AE59" s="35">
        <v>2.5</v>
      </c>
      <c r="AF59" s="34">
        <v>250000</v>
      </c>
      <c r="AG59" s="34">
        <v>250000</v>
      </c>
      <c r="AH59" s="33">
        <v>0</v>
      </c>
      <c r="AI59" s="33">
        <v>0</v>
      </c>
      <c r="AJ59" s="33"/>
      <c r="AK59">
        <v>0.22</v>
      </c>
      <c r="AL59" s="34">
        <v>250000</v>
      </c>
      <c r="AM59" s="57">
        <v>55000</v>
      </c>
      <c r="AN59">
        <v>305000</v>
      </c>
      <c r="AO59" s="34">
        <v>250000</v>
      </c>
      <c r="AP59" s="57">
        <v>55000</v>
      </c>
      <c r="AQ59">
        <v>305000</v>
      </c>
      <c r="AR59" s="33">
        <v>14</v>
      </c>
      <c r="AS59" s="14" t="s">
        <v>29</v>
      </c>
      <c r="AT59" s="14" t="s">
        <v>35</v>
      </c>
      <c r="AU59" s="44"/>
    </row>
    <row r="60" spans="1:47" ht="86.4" x14ac:dyDescent="0.3">
      <c r="A60" s="14">
        <v>59</v>
      </c>
      <c r="B60" s="14"/>
      <c r="C60" s="14" t="s">
        <v>565</v>
      </c>
      <c r="D60" s="14" t="s">
        <v>70</v>
      </c>
      <c r="E60" s="14">
        <v>2</v>
      </c>
      <c r="F60" s="42" t="s">
        <v>560</v>
      </c>
      <c r="G60" s="14">
        <v>501</v>
      </c>
      <c r="H60" s="14">
        <v>2</v>
      </c>
      <c r="I60" s="14" t="s">
        <v>638</v>
      </c>
      <c r="J60" s="14" t="s">
        <v>29</v>
      </c>
      <c r="K60" s="14" t="s">
        <v>787</v>
      </c>
      <c r="L60" s="42" t="s">
        <v>763</v>
      </c>
      <c r="M60" s="42" t="s">
        <v>573</v>
      </c>
      <c r="N60" s="14" t="s">
        <v>268</v>
      </c>
      <c r="O60" s="14" t="s">
        <v>268</v>
      </c>
      <c r="P60" s="43" t="s">
        <v>550</v>
      </c>
      <c r="Q60" s="14" t="s">
        <v>550</v>
      </c>
      <c r="R60" s="14" t="s">
        <v>33</v>
      </c>
      <c r="S60" s="14">
        <v>1</v>
      </c>
      <c r="T60" s="14">
        <v>1</v>
      </c>
      <c r="U60" s="14">
        <v>1</v>
      </c>
      <c r="V60" s="14">
        <v>1</v>
      </c>
      <c r="W60" s="34">
        <v>20000</v>
      </c>
      <c r="X60" s="57">
        <v>0</v>
      </c>
      <c r="Y60" s="34">
        <v>20000</v>
      </c>
      <c r="Z60" s="57">
        <v>20000</v>
      </c>
      <c r="AA60" s="33"/>
      <c r="AB60" s="42" t="s">
        <v>758</v>
      </c>
      <c r="AD60" s="33"/>
      <c r="AE60" s="35">
        <v>1.5</v>
      </c>
      <c r="AF60" s="34">
        <v>30000</v>
      </c>
      <c r="AG60" s="34">
        <v>30000</v>
      </c>
      <c r="AH60" s="33">
        <v>0</v>
      </c>
      <c r="AI60" s="33">
        <v>0</v>
      </c>
      <c r="AJ60" s="33"/>
      <c r="AK60">
        <v>0.22</v>
      </c>
      <c r="AL60" s="34">
        <v>30000</v>
      </c>
      <c r="AM60" s="57">
        <v>6600</v>
      </c>
      <c r="AN60">
        <v>36600</v>
      </c>
      <c r="AO60" s="34">
        <v>30000</v>
      </c>
      <c r="AP60" s="57">
        <v>6600</v>
      </c>
      <c r="AQ60">
        <v>36600</v>
      </c>
      <c r="AR60" s="33">
        <v>7</v>
      </c>
      <c r="AS60" s="14" t="s">
        <v>29</v>
      </c>
      <c r="AT60" s="14" t="s">
        <v>35</v>
      </c>
      <c r="AU60" s="44"/>
    </row>
    <row r="61" spans="1:47" ht="72" x14ac:dyDescent="0.3">
      <c r="A61" s="14">
        <v>60</v>
      </c>
      <c r="B61" s="14"/>
      <c r="C61" s="14" t="s">
        <v>565</v>
      </c>
      <c r="D61" s="14" t="s">
        <v>70</v>
      </c>
      <c r="E61" s="14">
        <v>2</v>
      </c>
      <c r="F61" s="42" t="s">
        <v>557</v>
      </c>
      <c r="G61" s="14">
        <v>501</v>
      </c>
      <c r="H61" s="14">
        <v>3</v>
      </c>
      <c r="I61" s="14" t="s">
        <v>639</v>
      </c>
      <c r="J61" s="14" t="s">
        <v>29</v>
      </c>
      <c r="K61" s="14" t="s">
        <v>788</v>
      </c>
      <c r="L61" s="42" t="s">
        <v>764</v>
      </c>
      <c r="M61" s="42" t="s">
        <v>566</v>
      </c>
      <c r="N61" s="14" t="s">
        <v>268</v>
      </c>
      <c r="O61" s="14" t="s">
        <v>268</v>
      </c>
      <c r="P61" s="43" t="s">
        <v>550</v>
      </c>
      <c r="Q61" s="14" t="s">
        <v>550</v>
      </c>
      <c r="R61" s="14" t="s">
        <v>33</v>
      </c>
      <c r="S61" s="14">
        <v>1</v>
      </c>
      <c r="T61" s="14">
        <v>1</v>
      </c>
      <c r="U61" s="14">
        <v>1</v>
      </c>
      <c r="V61" s="14">
        <v>1</v>
      </c>
      <c r="W61" s="34">
        <v>20000</v>
      </c>
      <c r="X61" s="57">
        <v>0</v>
      </c>
      <c r="Y61" s="34">
        <v>20000</v>
      </c>
      <c r="Z61" s="57">
        <v>20000</v>
      </c>
      <c r="AA61" s="33"/>
      <c r="AB61" s="42" t="s">
        <v>758</v>
      </c>
      <c r="AD61" s="33"/>
      <c r="AE61" s="35">
        <v>1.5</v>
      </c>
      <c r="AF61" s="34">
        <v>30000</v>
      </c>
      <c r="AG61" s="34">
        <v>30000</v>
      </c>
      <c r="AH61" s="33">
        <v>0</v>
      </c>
      <c r="AI61" s="33">
        <v>0</v>
      </c>
      <c r="AJ61" s="33"/>
      <c r="AK61">
        <v>0.22</v>
      </c>
      <c r="AL61" s="34">
        <v>30000</v>
      </c>
      <c r="AM61" s="57">
        <v>6600</v>
      </c>
      <c r="AN61">
        <v>36600</v>
      </c>
      <c r="AO61" s="34">
        <v>30000</v>
      </c>
      <c r="AP61" s="57">
        <v>6600</v>
      </c>
      <c r="AQ61">
        <v>36600</v>
      </c>
      <c r="AR61" s="33">
        <v>7</v>
      </c>
      <c r="AS61" s="14" t="s">
        <v>29</v>
      </c>
      <c r="AT61" s="14" t="s">
        <v>35</v>
      </c>
      <c r="AU61" s="44"/>
    </row>
    <row r="62" spans="1:47" ht="129.6" x14ac:dyDescent="0.3">
      <c r="A62" s="14">
        <v>61</v>
      </c>
      <c r="B62" s="14"/>
      <c r="C62" s="14" t="s">
        <v>565</v>
      </c>
      <c r="D62" s="14" t="s">
        <v>70</v>
      </c>
      <c r="E62" s="14">
        <v>2</v>
      </c>
      <c r="F62" s="42" t="s">
        <v>561</v>
      </c>
      <c r="G62" s="14">
        <v>502</v>
      </c>
      <c r="H62" s="14">
        <v>1</v>
      </c>
      <c r="I62" s="14" t="s">
        <v>640</v>
      </c>
      <c r="J62" s="14" t="s">
        <v>29</v>
      </c>
      <c r="K62" s="14" t="s">
        <v>789</v>
      </c>
      <c r="L62" s="42" t="s">
        <v>765</v>
      </c>
      <c r="M62" s="42" t="s">
        <v>563</v>
      </c>
      <c r="N62" s="14" t="s">
        <v>268</v>
      </c>
      <c r="O62" s="14" t="s">
        <v>268</v>
      </c>
      <c r="P62" s="43" t="s">
        <v>550</v>
      </c>
      <c r="Q62" s="14" t="s">
        <v>550</v>
      </c>
      <c r="R62" s="14" t="s">
        <v>33</v>
      </c>
      <c r="S62" s="14">
        <v>1</v>
      </c>
      <c r="T62" s="14">
        <v>1</v>
      </c>
      <c r="U62" s="14">
        <v>1</v>
      </c>
      <c r="V62" s="14">
        <v>1</v>
      </c>
      <c r="W62" s="34">
        <v>800000</v>
      </c>
      <c r="X62" s="57">
        <v>0</v>
      </c>
      <c r="Y62" s="34">
        <v>800000</v>
      </c>
      <c r="Z62" s="57">
        <v>800000</v>
      </c>
      <c r="AA62" s="33"/>
      <c r="AB62" s="42" t="s">
        <v>759</v>
      </c>
      <c r="AD62" s="33"/>
      <c r="AE62" s="35">
        <v>3.6</v>
      </c>
      <c r="AF62" s="34">
        <v>2880000</v>
      </c>
      <c r="AG62" s="34">
        <v>2880000</v>
      </c>
      <c r="AH62" s="33">
        <v>0</v>
      </c>
      <c r="AI62" s="33">
        <v>0</v>
      </c>
      <c r="AJ62" s="33"/>
      <c r="AK62">
        <v>0.22</v>
      </c>
      <c r="AL62" s="34">
        <v>2880000</v>
      </c>
      <c r="AM62" s="57">
        <v>633600</v>
      </c>
      <c r="AN62">
        <v>3513600</v>
      </c>
      <c r="AO62" s="34">
        <v>2880000</v>
      </c>
      <c r="AP62" s="57">
        <v>633600</v>
      </c>
      <c r="AQ62">
        <v>3513600</v>
      </c>
      <c r="AR62" s="33">
        <v>108</v>
      </c>
      <c r="AS62" s="14" t="s">
        <v>29</v>
      </c>
      <c r="AT62" s="14" t="s">
        <v>35</v>
      </c>
      <c r="AU62" s="44"/>
    </row>
    <row r="63" spans="1:47" ht="115.2" x14ac:dyDescent="0.3">
      <c r="A63" s="14">
        <v>62</v>
      </c>
      <c r="B63" s="14"/>
      <c r="C63" s="14" t="s">
        <v>565</v>
      </c>
      <c r="D63" s="14" t="s">
        <v>70</v>
      </c>
      <c r="E63" s="14">
        <v>2</v>
      </c>
      <c r="F63" s="42" t="s">
        <v>562</v>
      </c>
      <c r="G63" s="14">
        <v>503</v>
      </c>
      <c r="H63" s="14">
        <v>1</v>
      </c>
      <c r="I63" s="14" t="s">
        <v>641</v>
      </c>
      <c r="J63" s="14" t="s">
        <v>29</v>
      </c>
      <c r="K63" s="14" t="s">
        <v>790</v>
      </c>
      <c r="L63" s="42" t="s">
        <v>766</v>
      </c>
      <c r="M63" s="42" t="s">
        <v>564</v>
      </c>
      <c r="N63" s="14" t="s">
        <v>268</v>
      </c>
      <c r="O63" s="14" t="s">
        <v>268</v>
      </c>
      <c r="P63" s="43" t="s">
        <v>550</v>
      </c>
      <c r="Q63" s="14" t="s">
        <v>550</v>
      </c>
      <c r="R63" s="14" t="s">
        <v>33</v>
      </c>
      <c r="S63" s="14">
        <v>1</v>
      </c>
      <c r="T63" s="14">
        <v>1</v>
      </c>
      <c r="U63" s="14">
        <v>1</v>
      </c>
      <c r="V63" s="14">
        <v>1</v>
      </c>
      <c r="W63" s="34">
        <v>300000</v>
      </c>
      <c r="X63" s="57">
        <v>0</v>
      </c>
      <c r="Y63" s="34">
        <v>300000</v>
      </c>
      <c r="Z63" s="57">
        <v>300000</v>
      </c>
      <c r="AA63" s="33"/>
      <c r="AB63" s="42" t="s">
        <v>760</v>
      </c>
      <c r="AD63" s="33"/>
      <c r="AE63" s="35">
        <v>1.17</v>
      </c>
      <c r="AF63" s="34">
        <v>351000</v>
      </c>
      <c r="AG63" s="34">
        <v>351000</v>
      </c>
      <c r="AH63" s="33">
        <v>0</v>
      </c>
      <c r="AI63" s="33">
        <v>0</v>
      </c>
      <c r="AJ63" s="33"/>
      <c r="AK63">
        <v>0.22</v>
      </c>
      <c r="AL63" s="34">
        <v>351000</v>
      </c>
      <c r="AM63" s="57">
        <v>77220</v>
      </c>
      <c r="AN63">
        <v>428220</v>
      </c>
      <c r="AO63" s="34">
        <v>351000</v>
      </c>
      <c r="AP63" s="57">
        <v>77220</v>
      </c>
      <c r="AQ63">
        <v>428220</v>
      </c>
      <c r="AR63" s="33">
        <v>14</v>
      </c>
      <c r="AS63" s="14" t="s">
        <v>29</v>
      </c>
      <c r="AT63" s="14" t="s">
        <v>35</v>
      </c>
      <c r="AU63" s="44" t="s">
        <v>663</v>
      </c>
    </row>
    <row r="64" spans="1:47" ht="86.4" x14ac:dyDescent="0.3">
      <c r="A64" s="14">
        <v>63</v>
      </c>
      <c r="B64" s="14"/>
      <c r="C64" s="14" t="s">
        <v>565</v>
      </c>
      <c r="D64" s="14" t="s">
        <v>70</v>
      </c>
      <c r="E64" s="14">
        <v>2</v>
      </c>
      <c r="F64" s="42" t="s">
        <v>557</v>
      </c>
      <c r="G64" s="14">
        <v>701</v>
      </c>
      <c r="H64" s="14">
        <v>1</v>
      </c>
      <c r="I64" s="14" t="s">
        <v>664</v>
      </c>
      <c r="J64" s="14" t="s">
        <v>29</v>
      </c>
      <c r="K64" s="14" t="s">
        <v>791</v>
      </c>
      <c r="L64" s="42" t="s">
        <v>753</v>
      </c>
      <c r="M64" s="42" t="s">
        <v>572</v>
      </c>
      <c r="N64" s="14" t="s">
        <v>268</v>
      </c>
      <c r="O64" s="14" t="s">
        <v>268</v>
      </c>
      <c r="P64" s="43" t="s">
        <v>550</v>
      </c>
      <c r="Q64" s="14" t="s">
        <v>550</v>
      </c>
      <c r="R64" s="14" t="s">
        <v>33</v>
      </c>
      <c r="S64" s="14">
        <v>1</v>
      </c>
      <c r="T64" s="14">
        <v>1</v>
      </c>
      <c r="U64" s="14">
        <v>1</v>
      </c>
      <c r="V64" s="14">
        <v>1</v>
      </c>
      <c r="W64" s="34">
        <v>100000</v>
      </c>
      <c r="X64" s="57">
        <v>0</v>
      </c>
      <c r="Y64" s="34">
        <v>100000</v>
      </c>
      <c r="Z64" s="57">
        <v>100000</v>
      </c>
      <c r="AA64" s="33"/>
      <c r="AB64" s="42" t="s">
        <v>754</v>
      </c>
      <c r="AD64" s="33"/>
      <c r="AE64" s="35">
        <v>1.5</v>
      </c>
      <c r="AF64" s="34">
        <v>150000</v>
      </c>
      <c r="AG64" s="34">
        <v>150000</v>
      </c>
      <c r="AH64" s="33">
        <v>0</v>
      </c>
      <c r="AI64" s="33">
        <v>0</v>
      </c>
      <c r="AJ64" s="33"/>
      <c r="AK64">
        <v>0.22</v>
      </c>
      <c r="AL64" s="34">
        <v>150000</v>
      </c>
      <c r="AM64" s="57">
        <v>33000</v>
      </c>
      <c r="AN64">
        <v>183000</v>
      </c>
      <c r="AO64" s="34">
        <v>150000</v>
      </c>
      <c r="AP64" s="57">
        <v>33000</v>
      </c>
      <c r="AQ64">
        <v>183000</v>
      </c>
      <c r="AR64" s="33">
        <v>14</v>
      </c>
      <c r="AS64" s="14" t="s">
        <v>29</v>
      </c>
      <c r="AT64" s="14" t="s">
        <v>35</v>
      </c>
      <c r="AU64" s="44"/>
    </row>
    <row r="65" spans="1:47" ht="86.4" x14ac:dyDescent="0.3">
      <c r="A65" s="14">
        <v>64</v>
      </c>
      <c r="B65" s="14"/>
      <c r="C65" s="14" t="s">
        <v>565</v>
      </c>
      <c r="D65" s="14" t="s">
        <v>70</v>
      </c>
      <c r="E65" s="14">
        <v>2</v>
      </c>
      <c r="F65" s="42" t="s">
        <v>560</v>
      </c>
      <c r="G65" s="14">
        <v>701</v>
      </c>
      <c r="H65" s="14">
        <v>2</v>
      </c>
      <c r="I65" s="14" t="s">
        <v>665</v>
      </c>
      <c r="J65" s="14" t="s">
        <v>29</v>
      </c>
      <c r="K65" s="14" t="s">
        <v>792</v>
      </c>
      <c r="L65" s="42" t="s">
        <v>748</v>
      </c>
      <c r="M65" s="42" t="s">
        <v>573</v>
      </c>
      <c r="N65" s="14" t="s">
        <v>268</v>
      </c>
      <c r="O65" s="14" t="s">
        <v>268</v>
      </c>
      <c r="P65" s="43" t="s">
        <v>550</v>
      </c>
      <c r="Q65" s="14" t="s">
        <v>550</v>
      </c>
      <c r="R65" s="14" t="s">
        <v>33</v>
      </c>
      <c r="S65" s="14">
        <v>1</v>
      </c>
      <c r="T65" s="14">
        <v>1</v>
      </c>
      <c r="U65" s="14">
        <v>1</v>
      </c>
      <c r="V65" s="14">
        <v>1</v>
      </c>
      <c r="W65" s="34">
        <v>20000</v>
      </c>
      <c r="X65" s="57">
        <v>0</v>
      </c>
      <c r="Y65" s="34">
        <v>20000</v>
      </c>
      <c r="Z65" s="57">
        <v>20000</v>
      </c>
      <c r="AA65" s="33"/>
      <c r="AB65" s="42" t="s">
        <v>754</v>
      </c>
      <c r="AD65" s="33"/>
      <c r="AE65" s="35">
        <v>1.5</v>
      </c>
      <c r="AF65" s="34">
        <v>30000</v>
      </c>
      <c r="AG65" s="34">
        <v>30000</v>
      </c>
      <c r="AH65" s="33">
        <v>0</v>
      </c>
      <c r="AI65" s="33">
        <v>0</v>
      </c>
      <c r="AJ65" s="33"/>
      <c r="AK65">
        <v>0.22</v>
      </c>
      <c r="AL65" s="34">
        <v>30000</v>
      </c>
      <c r="AM65" s="57">
        <v>6600</v>
      </c>
      <c r="AN65">
        <v>36600</v>
      </c>
      <c r="AO65" s="34">
        <v>30000</v>
      </c>
      <c r="AP65" s="57">
        <v>6600</v>
      </c>
      <c r="AQ65">
        <v>36600</v>
      </c>
      <c r="AR65" s="33">
        <v>7</v>
      </c>
      <c r="AS65" s="14" t="s">
        <v>29</v>
      </c>
      <c r="AT65" s="14" t="s">
        <v>35</v>
      </c>
      <c r="AU65" s="44"/>
    </row>
    <row r="66" spans="1:47" ht="72" x14ac:dyDescent="0.3">
      <c r="A66" s="14">
        <v>65</v>
      </c>
      <c r="B66" s="14"/>
      <c r="C66" s="14" t="s">
        <v>565</v>
      </c>
      <c r="D66" s="14" t="s">
        <v>70</v>
      </c>
      <c r="E66" s="14">
        <v>2</v>
      </c>
      <c r="F66" s="42" t="s">
        <v>557</v>
      </c>
      <c r="G66" s="14">
        <v>701</v>
      </c>
      <c r="H66" s="14">
        <v>3</v>
      </c>
      <c r="I66" s="14" t="s">
        <v>666</v>
      </c>
      <c r="J66" s="14" t="s">
        <v>29</v>
      </c>
      <c r="K66" s="14" t="s">
        <v>793</v>
      </c>
      <c r="L66" s="42" t="s">
        <v>749</v>
      </c>
      <c r="M66" s="42" t="s">
        <v>566</v>
      </c>
      <c r="N66" s="14" t="s">
        <v>268</v>
      </c>
      <c r="O66" s="14" t="s">
        <v>268</v>
      </c>
      <c r="P66" s="43" t="s">
        <v>550</v>
      </c>
      <c r="Q66" s="14" t="s">
        <v>550</v>
      </c>
      <c r="R66" s="14" t="s">
        <v>33</v>
      </c>
      <c r="S66" s="14">
        <v>1</v>
      </c>
      <c r="T66" s="14">
        <v>1</v>
      </c>
      <c r="U66" s="14">
        <v>1</v>
      </c>
      <c r="V66" s="14">
        <v>1</v>
      </c>
      <c r="W66" s="34">
        <v>20000</v>
      </c>
      <c r="X66" s="57">
        <v>0</v>
      </c>
      <c r="Y66" s="34">
        <v>20000</v>
      </c>
      <c r="Z66" s="57">
        <v>20000</v>
      </c>
      <c r="AA66" s="33"/>
      <c r="AB66" s="42" t="s">
        <v>754</v>
      </c>
      <c r="AD66" s="33"/>
      <c r="AE66" s="35">
        <v>1.5</v>
      </c>
      <c r="AF66" s="34">
        <v>30000</v>
      </c>
      <c r="AG66" s="34">
        <v>30000</v>
      </c>
      <c r="AH66" s="33">
        <v>0</v>
      </c>
      <c r="AI66" s="33">
        <v>0</v>
      </c>
      <c r="AJ66" s="33"/>
      <c r="AK66">
        <v>0.22</v>
      </c>
      <c r="AL66" s="34">
        <v>30000</v>
      </c>
      <c r="AM66" s="57">
        <v>6600</v>
      </c>
      <c r="AN66">
        <v>36600</v>
      </c>
      <c r="AO66" s="34">
        <v>30000</v>
      </c>
      <c r="AP66" s="57">
        <v>6600</v>
      </c>
      <c r="AQ66">
        <v>36600</v>
      </c>
      <c r="AR66" s="33">
        <v>7</v>
      </c>
      <c r="AS66" s="14" t="s">
        <v>29</v>
      </c>
      <c r="AT66" s="14" t="s">
        <v>35</v>
      </c>
      <c r="AU66" s="44"/>
    </row>
    <row r="67" spans="1:47" ht="129.6" x14ac:dyDescent="0.3">
      <c r="A67" s="14">
        <v>66</v>
      </c>
      <c r="B67" s="14"/>
      <c r="C67" s="14" t="s">
        <v>565</v>
      </c>
      <c r="D67" s="14" t="s">
        <v>70</v>
      </c>
      <c r="E67" s="14">
        <v>2</v>
      </c>
      <c r="F67" s="42" t="s">
        <v>561</v>
      </c>
      <c r="G67" s="14">
        <v>702</v>
      </c>
      <c r="H67" s="14">
        <v>1</v>
      </c>
      <c r="I67" s="14" t="s">
        <v>667</v>
      </c>
      <c r="J67" s="14" t="s">
        <v>29</v>
      </c>
      <c r="K67" s="14" t="s">
        <v>794</v>
      </c>
      <c r="L67" s="42" t="s">
        <v>750</v>
      </c>
      <c r="M67" s="42" t="s">
        <v>563</v>
      </c>
      <c r="N67" s="14" t="s">
        <v>268</v>
      </c>
      <c r="O67" s="14" t="s">
        <v>268</v>
      </c>
      <c r="P67" s="43" t="s">
        <v>550</v>
      </c>
      <c r="Q67" s="14" t="s">
        <v>550</v>
      </c>
      <c r="R67" s="14" t="s">
        <v>33</v>
      </c>
      <c r="S67" s="14">
        <v>1</v>
      </c>
      <c r="T67" s="14">
        <v>1</v>
      </c>
      <c r="U67" s="14">
        <v>1</v>
      </c>
      <c r="V67" s="14">
        <v>1</v>
      </c>
      <c r="W67" s="34">
        <v>800000</v>
      </c>
      <c r="X67" s="57">
        <v>0</v>
      </c>
      <c r="Y67" s="34">
        <v>800000</v>
      </c>
      <c r="Z67" s="57">
        <v>800000</v>
      </c>
      <c r="AA67" s="33"/>
      <c r="AB67" s="42" t="s">
        <v>755</v>
      </c>
      <c r="AD67" s="33"/>
      <c r="AE67" s="35">
        <v>3.2</v>
      </c>
      <c r="AF67" s="34">
        <v>2560000</v>
      </c>
      <c r="AG67" s="34">
        <v>2560000</v>
      </c>
      <c r="AH67" s="33">
        <v>0</v>
      </c>
      <c r="AI67" s="33">
        <v>0</v>
      </c>
      <c r="AJ67" s="33"/>
      <c r="AK67">
        <v>0.22</v>
      </c>
      <c r="AL67" s="34">
        <v>2560000</v>
      </c>
      <c r="AM67" s="57">
        <v>563200</v>
      </c>
      <c r="AN67">
        <v>3123200</v>
      </c>
      <c r="AO67" s="34">
        <v>2560000</v>
      </c>
      <c r="AP67" s="57">
        <v>563200</v>
      </c>
      <c r="AQ67">
        <v>3123200</v>
      </c>
      <c r="AR67" s="33">
        <v>108</v>
      </c>
      <c r="AS67" s="14" t="s">
        <v>29</v>
      </c>
      <c r="AT67" s="14" t="s">
        <v>35</v>
      </c>
      <c r="AU67" s="44"/>
    </row>
    <row r="68" spans="1:47" ht="115.2" x14ac:dyDescent="0.3">
      <c r="A68" s="14">
        <v>67</v>
      </c>
      <c r="B68" s="14"/>
      <c r="C68" s="14" t="s">
        <v>565</v>
      </c>
      <c r="D68" s="14" t="s">
        <v>70</v>
      </c>
      <c r="E68" s="14">
        <v>2</v>
      </c>
      <c r="F68" s="42" t="s">
        <v>562</v>
      </c>
      <c r="G68" s="14">
        <v>703</v>
      </c>
      <c r="H68" s="14">
        <v>1</v>
      </c>
      <c r="I68" s="14" t="s">
        <v>668</v>
      </c>
      <c r="J68" s="14" t="s">
        <v>29</v>
      </c>
      <c r="K68" s="14" t="s">
        <v>795</v>
      </c>
      <c r="L68" s="42" t="s">
        <v>751</v>
      </c>
      <c r="M68" s="42" t="s">
        <v>564</v>
      </c>
      <c r="N68" s="14" t="s">
        <v>268</v>
      </c>
      <c r="O68" s="14" t="s">
        <v>268</v>
      </c>
      <c r="P68" s="43" t="s">
        <v>550</v>
      </c>
      <c r="Q68" s="14" t="s">
        <v>550</v>
      </c>
      <c r="R68" s="14" t="s">
        <v>33</v>
      </c>
      <c r="S68" s="14">
        <v>1</v>
      </c>
      <c r="T68" s="14">
        <v>1</v>
      </c>
      <c r="U68" s="14">
        <v>1</v>
      </c>
      <c r="V68" s="14">
        <v>1</v>
      </c>
      <c r="W68" s="34">
        <v>300000</v>
      </c>
      <c r="X68" s="57">
        <v>0</v>
      </c>
      <c r="Y68" s="34">
        <v>300000</v>
      </c>
      <c r="Z68" s="57">
        <v>300000</v>
      </c>
      <c r="AA68" s="33"/>
      <c r="AB68" s="42" t="s">
        <v>756</v>
      </c>
      <c r="AD68" s="33"/>
      <c r="AE68" s="35">
        <v>1.17</v>
      </c>
      <c r="AF68" s="34">
        <v>351000</v>
      </c>
      <c r="AG68" s="34">
        <v>351000</v>
      </c>
      <c r="AH68" s="33">
        <v>0</v>
      </c>
      <c r="AI68" s="33">
        <v>0</v>
      </c>
      <c r="AJ68" s="33"/>
      <c r="AK68">
        <v>0.22</v>
      </c>
      <c r="AL68" s="34">
        <v>351000</v>
      </c>
      <c r="AM68" s="57">
        <v>77220</v>
      </c>
      <c r="AN68">
        <v>428220</v>
      </c>
      <c r="AO68" s="34">
        <v>351000</v>
      </c>
      <c r="AP68" s="57">
        <v>77220</v>
      </c>
      <c r="AQ68">
        <v>428220</v>
      </c>
      <c r="AR68" s="33">
        <v>14</v>
      </c>
      <c r="AS68" s="14" t="s">
        <v>29</v>
      </c>
      <c r="AT68" s="14" t="s">
        <v>35</v>
      </c>
      <c r="AU68" s="44" t="s">
        <v>663</v>
      </c>
    </row>
    <row r="69" spans="1:47" ht="86.4" x14ac:dyDescent="0.3">
      <c r="A69" s="14">
        <v>68</v>
      </c>
      <c r="B69" s="14"/>
      <c r="C69" s="14" t="s">
        <v>565</v>
      </c>
      <c r="D69" s="14" t="s">
        <v>70</v>
      </c>
      <c r="E69" s="14">
        <v>2</v>
      </c>
      <c r="F69" s="42" t="s">
        <v>689</v>
      </c>
      <c r="G69" s="14">
        <v>504</v>
      </c>
      <c r="H69" s="14">
        <v>1</v>
      </c>
      <c r="I69" s="14" t="s">
        <v>723</v>
      </c>
      <c r="J69" s="14" t="s">
        <v>29</v>
      </c>
      <c r="K69" s="14" t="s">
        <v>796</v>
      </c>
      <c r="L69" s="42" t="s">
        <v>767</v>
      </c>
      <c r="M69" s="42" t="s">
        <v>688</v>
      </c>
      <c r="N69" s="14" t="s">
        <v>268</v>
      </c>
      <c r="O69" s="14" t="s">
        <v>268</v>
      </c>
      <c r="P69" s="43" t="s">
        <v>550</v>
      </c>
      <c r="Q69" s="14" t="s">
        <v>550</v>
      </c>
      <c r="R69" s="14" t="s">
        <v>33</v>
      </c>
      <c r="S69" s="14">
        <v>1</v>
      </c>
      <c r="T69" s="14">
        <v>1</v>
      </c>
      <c r="U69" s="14">
        <v>1</v>
      </c>
      <c r="V69" s="14">
        <v>1</v>
      </c>
      <c r="W69" s="34">
        <v>33300</v>
      </c>
      <c r="X69" s="57">
        <v>0</v>
      </c>
      <c r="Y69" s="34">
        <v>33300</v>
      </c>
      <c r="Z69" s="57">
        <v>33300</v>
      </c>
      <c r="AA69" s="33"/>
      <c r="AB69" s="42" t="s">
        <v>761</v>
      </c>
      <c r="AD69" s="33"/>
      <c r="AE69" s="35">
        <v>1</v>
      </c>
      <c r="AF69" s="34">
        <v>33300</v>
      </c>
      <c r="AG69" s="34">
        <v>33300</v>
      </c>
      <c r="AH69" s="33">
        <v>0</v>
      </c>
      <c r="AI69" s="33">
        <v>0</v>
      </c>
      <c r="AJ69" s="33"/>
      <c r="AK69">
        <v>0.22</v>
      </c>
      <c r="AL69" s="34">
        <v>33300</v>
      </c>
      <c r="AM69" s="57">
        <v>7326</v>
      </c>
      <c r="AN69">
        <v>40626</v>
      </c>
      <c r="AO69" s="34">
        <v>33300</v>
      </c>
      <c r="AP69" s="57">
        <v>7326</v>
      </c>
      <c r="AQ69">
        <v>40626</v>
      </c>
      <c r="AR69" s="33">
        <v>7</v>
      </c>
      <c r="AS69" s="14" t="s">
        <v>29</v>
      </c>
      <c r="AT69" s="14" t="s">
        <v>35</v>
      </c>
      <c r="AU69" s="44"/>
    </row>
    <row r="70" spans="1:47" ht="86.4" x14ac:dyDescent="0.3">
      <c r="A70" s="58">
        <v>69</v>
      </c>
      <c r="B70" s="58"/>
      <c r="C70" s="58" t="s">
        <v>565</v>
      </c>
      <c r="D70" s="58" t="s">
        <v>70</v>
      </c>
      <c r="E70" s="58">
        <v>2</v>
      </c>
      <c r="F70" s="59" t="s">
        <v>689</v>
      </c>
      <c r="G70" s="58">
        <v>704</v>
      </c>
      <c r="H70" s="58">
        <v>1</v>
      </c>
      <c r="I70" s="58" t="s">
        <v>726</v>
      </c>
      <c r="J70" s="58" t="s">
        <v>29</v>
      </c>
      <c r="K70" s="58" t="s">
        <v>797</v>
      </c>
      <c r="L70" s="59" t="s">
        <v>752</v>
      </c>
      <c r="M70" s="59" t="s">
        <v>688</v>
      </c>
      <c r="N70" s="58" t="s">
        <v>268</v>
      </c>
      <c r="O70" s="58" t="s">
        <v>268</v>
      </c>
      <c r="P70" s="60" t="s">
        <v>550</v>
      </c>
      <c r="Q70" s="58" t="s">
        <v>550</v>
      </c>
      <c r="R70" s="58" t="s">
        <v>33</v>
      </c>
      <c r="S70" s="58">
        <v>1</v>
      </c>
      <c r="T70" s="58">
        <v>1</v>
      </c>
      <c r="U70" s="58">
        <v>1</v>
      </c>
      <c r="V70" s="58">
        <v>1</v>
      </c>
      <c r="W70" s="61">
        <v>33300</v>
      </c>
      <c r="X70" s="57">
        <v>0</v>
      </c>
      <c r="Y70" s="61">
        <v>33300</v>
      </c>
      <c r="Z70" s="57">
        <v>33300</v>
      </c>
      <c r="AA70" s="62"/>
      <c r="AB70" s="59" t="s">
        <v>757</v>
      </c>
      <c r="AD70" s="62"/>
      <c r="AE70" s="63">
        <v>1</v>
      </c>
      <c r="AF70" s="61">
        <v>33300</v>
      </c>
      <c r="AG70" s="61">
        <v>33300</v>
      </c>
      <c r="AH70" s="62">
        <v>0</v>
      </c>
      <c r="AI70" s="62">
        <v>0</v>
      </c>
      <c r="AJ70" s="62"/>
      <c r="AK70">
        <v>0.22</v>
      </c>
      <c r="AL70" s="61">
        <v>33300</v>
      </c>
      <c r="AM70" s="57">
        <v>7326</v>
      </c>
      <c r="AN70">
        <v>40626</v>
      </c>
      <c r="AO70" s="61">
        <v>33300</v>
      </c>
      <c r="AP70" s="57">
        <v>7326</v>
      </c>
      <c r="AQ70">
        <v>40626</v>
      </c>
      <c r="AR70" s="62">
        <v>7</v>
      </c>
      <c r="AS70" s="58" t="s">
        <v>29</v>
      </c>
      <c r="AT70" s="58" t="s">
        <v>35</v>
      </c>
      <c r="AU70" s="64"/>
    </row>
    <row r="75" spans="1:47" x14ac:dyDescent="0.3">
      <c r="AJ75" s="55"/>
    </row>
    <row r="76" spans="1:47" x14ac:dyDescent="0.3">
      <c r="AJ76" s="55"/>
    </row>
    <row r="77" spans="1:47" x14ac:dyDescent="0.3">
      <c r="AJ77" s="55"/>
    </row>
  </sheetData>
  <phoneticPr fontId="19"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E25D-D713-49D5-8F1A-D26EFDD05A32}">
  <dimension ref="A1:AC31"/>
  <sheetViews>
    <sheetView zoomScale="80" zoomScaleNormal="80" workbookViewId="0">
      <selection activeCell="D21" sqref="D21"/>
    </sheetView>
  </sheetViews>
  <sheetFormatPr defaultRowHeight="14.4" x14ac:dyDescent="0.3"/>
  <cols>
    <col min="1" max="1" width="39.6640625" style="31" customWidth="1"/>
    <col min="2" max="2" width="28.6640625" customWidth="1"/>
    <col min="3" max="3" width="18.109375" customWidth="1"/>
    <col min="4" max="4" width="15.33203125" style="28" customWidth="1"/>
    <col min="5" max="6" width="11.33203125" bestFit="1" customWidth="1"/>
    <col min="7" max="7" width="33.109375" bestFit="1" customWidth="1"/>
    <col min="8" max="8" width="8.33203125" bestFit="1" customWidth="1"/>
    <col min="9" max="9" width="21.6640625" bestFit="1" customWidth="1"/>
    <col min="10" max="10" width="33.88671875" bestFit="1" customWidth="1"/>
    <col min="11" max="11" width="43.109375" bestFit="1" customWidth="1"/>
    <col min="12" max="12" width="42.6640625" bestFit="1" customWidth="1"/>
    <col min="13" max="13" width="37.33203125" bestFit="1" customWidth="1"/>
    <col min="14" max="14" width="38.44140625" bestFit="1" customWidth="1"/>
    <col min="15" max="15" width="34.6640625" bestFit="1" customWidth="1"/>
    <col min="16" max="16" width="42.6640625" bestFit="1" customWidth="1"/>
    <col min="17" max="17" width="37.33203125" bestFit="1" customWidth="1"/>
    <col min="18" max="18" width="38.44140625" bestFit="1" customWidth="1"/>
    <col min="19" max="19" width="34.6640625" bestFit="1" customWidth="1"/>
    <col min="20" max="20" width="42.6640625" bestFit="1" customWidth="1"/>
    <col min="21" max="21" width="37.33203125" bestFit="1" customWidth="1"/>
    <col min="22" max="22" width="38.44140625" bestFit="1" customWidth="1"/>
    <col min="23" max="23" width="34.6640625" bestFit="1" customWidth="1"/>
    <col min="24" max="24" width="42.6640625" bestFit="1" customWidth="1"/>
    <col min="25" max="25" width="37.33203125" bestFit="1" customWidth="1"/>
    <col min="26" max="26" width="38.44140625" bestFit="1" customWidth="1"/>
    <col min="27" max="27" width="34.6640625" bestFit="1" customWidth="1"/>
    <col min="28" max="28" width="42.6640625" bestFit="1" customWidth="1"/>
    <col min="29" max="29" width="37.33203125" bestFit="1" customWidth="1"/>
  </cols>
  <sheetData>
    <row r="1" spans="1:29" x14ac:dyDescent="0.3">
      <c r="A1"/>
    </row>
    <row r="2" spans="1:29" ht="15" customHeight="1" x14ac:dyDescent="0.3">
      <c r="A2" s="37" t="s">
        <v>2</v>
      </c>
      <c r="B2" t="s" vm="3">
        <v>47</v>
      </c>
    </row>
    <row r="3" spans="1:29" s="1" customFormat="1" ht="27" customHeight="1" x14ac:dyDescent="0.3">
      <c r="A3" s="36" t="s">
        <v>9</v>
      </c>
      <c r="B3" t="s" vm="2">
        <v>72</v>
      </c>
      <c r="C3"/>
      <c r="D3"/>
      <c r="E3"/>
      <c r="F3"/>
      <c r="G3"/>
      <c r="H3"/>
      <c r="I3"/>
      <c r="J3"/>
      <c r="K3"/>
      <c r="L3" s="13"/>
      <c r="M3" s="13"/>
      <c r="N3" s="13"/>
      <c r="O3" s="13"/>
      <c r="P3" s="13"/>
      <c r="Q3" s="13"/>
      <c r="R3" s="13"/>
      <c r="S3" s="13"/>
      <c r="T3" s="13"/>
      <c r="U3" s="13"/>
      <c r="V3" s="13"/>
      <c r="W3" s="13"/>
      <c r="X3" s="13"/>
      <c r="Y3" s="13"/>
      <c r="Z3" s="13"/>
      <c r="AA3" s="13"/>
      <c r="AB3" s="13"/>
      <c r="AC3" s="13"/>
    </row>
    <row r="4" spans="1:29" x14ac:dyDescent="0.3">
      <c r="A4" s="36" t="s">
        <v>8</v>
      </c>
      <c r="B4" t="s" vm="1">
        <v>73</v>
      </c>
      <c r="D4"/>
    </row>
    <row r="5" spans="1:29" x14ac:dyDescent="0.3">
      <c r="A5"/>
      <c r="D5"/>
    </row>
    <row r="6" spans="1:29" ht="43.2" x14ac:dyDescent="0.3">
      <c r="A6" s="27" t="s">
        <v>74</v>
      </c>
      <c r="B6" s="7" t="s">
        <v>75</v>
      </c>
      <c r="C6" s="39" t="s">
        <v>76</v>
      </c>
      <c r="D6" s="40" t="s">
        <v>65</v>
      </c>
    </row>
    <row r="7" spans="1:29" ht="15" customHeight="1" x14ac:dyDescent="0.3">
      <c r="A7" s="31" t="s">
        <v>77</v>
      </c>
      <c r="B7" s="54"/>
      <c r="C7" s="39"/>
      <c r="D7" s="46"/>
    </row>
    <row r="8" spans="1:29" ht="15" customHeight="1" x14ac:dyDescent="0.3">
      <c r="A8" s="15" t="s">
        <v>48</v>
      </c>
      <c r="B8" s="54">
        <v>1</v>
      </c>
      <c r="C8" s="39">
        <v>351700</v>
      </c>
      <c r="D8" s="46">
        <v>1758500</v>
      </c>
    </row>
    <row r="9" spans="1:29" x14ac:dyDescent="0.3">
      <c r="A9" s="15" t="s">
        <v>30</v>
      </c>
      <c r="B9" s="54">
        <v>3</v>
      </c>
      <c r="C9" s="39">
        <v>60000</v>
      </c>
      <c r="D9" s="46">
        <v>240000</v>
      </c>
    </row>
    <row r="10" spans="1:29" x14ac:dyDescent="0.3">
      <c r="A10" s="15" t="s">
        <v>49</v>
      </c>
      <c r="B10" s="54">
        <v>3</v>
      </c>
      <c r="C10" s="39">
        <v>174900</v>
      </c>
      <c r="D10" s="46">
        <v>524700</v>
      </c>
    </row>
    <row r="11" spans="1:29" ht="28.8" x14ac:dyDescent="0.3">
      <c r="A11" s="31" t="s">
        <v>34</v>
      </c>
      <c r="B11" s="54"/>
      <c r="C11" s="39"/>
      <c r="D11" s="46"/>
    </row>
    <row r="12" spans="1:29" x14ac:dyDescent="0.3">
      <c r="A12" s="15" t="s">
        <v>50</v>
      </c>
      <c r="B12" s="54">
        <v>6</v>
      </c>
      <c r="C12" s="39">
        <v>95400</v>
      </c>
      <c r="D12" s="46">
        <v>286200</v>
      </c>
    </row>
    <row r="13" spans="1:29" x14ac:dyDescent="0.3">
      <c r="A13" s="15" t="s">
        <v>51</v>
      </c>
      <c r="B13" s="54">
        <v>4</v>
      </c>
      <c r="C13" s="39">
        <v>5600</v>
      </c>
      <c r="D13" s="46">
        <v>15120.000000000002</v>
      </c>
    </row>
    <row r="14" spans="1:29" x14ac:dyDescent="0.3">
      <c r="A14" s="38" t="s">
        <v>38</v>
      </c>
      <c r="B14" s="54">
        <v>6</v>
      </c>
      <c r="C14" s="39">
        <v>17400</v>
      </c>
      <c r="D14" s="46">
        <v>46980.000000000007</v>
      </c>
    </row>
    <row r="15" spans="1:29" x14ac:dyDescent="0.3">
      <c r="A15" s="15" t="s">
        <v>52</v>
      </c>
      <c r="B15" s="54">
        <v>24</v>
      </c>
      <c r="C15" s="39">
        <v>48000</v>
      </c>
      <c r="D15" s="46">
        <v>153600</v>
      </c>
    </row>
    <row r="16" spans="1:29" x14ac:dyDescent="0.3">
      <c r="A16" s="31" t="s">
        <v>78</v>
      </c>
      <c r="B16" s="54">
        <v>47</v>
      </c>
      <c r="C16" s="39">
        <v>753000</v>
      </c>
      <c r="D16" s="46">
        <v>3025100</v>
      </c>
    </row>
    <row r="17" spans="1:4" x14ac:dyDescent="0.3">
      <c r="A17"/>
      <c r="D17"/>
    </row>
    <row r="18" spans="1:4" x14ac:dyDescent="0.3">
      <c r="A18"/>
      <c r="D18"/>
    </row>
    <row r="19" spans="1:4" x14ac:dyDescent="0.3">
      <c r="A19"/>
      <c r="D19"/>
    </row>
    <row r="20" spans="1:4" x14ac:dyDescent="0.3">
      <c r="A20"/>
      <c r="D20"/>
    </row>
    <row r="21" spans="1:4" x14ac:dyDescent="0.3">
      <c r="A21"/>
      <c r="D21"/>
    </row>
    <row r="22" spans="1:4" x14ac:dyDescent="0.3">
      <c r="A22"/>
      <c r="D22"/>
    </row>
    <row r="23" spans="1:4" x14ac:dyDescent="0.3">
      <c r="A23"/>
      <c r="D23"/>
    </row>
    <row r="24" spans="1:4" x14ac:dyDescent="0.3">
      <c r="A24"/>
      <c r="D24"/>
    </row>
    <row r="25" spans="1:4" x14ac:dyDescent="0.3">
      <c r="A25"/>
      <c r="D25"/>
    </row>
    <row r="26" spans="1:4" x14ac:dyDescent="0.3">
      <c r="A26"/>
      <c r="D26"/>
    </row>
    <row r="27" spans="1:4" x14ac:dyDescent="0.3">
      <c r="A27"/>
      <c r="D27"/>
    </row>
    <row r="28" spans="1:4" x14ac:dyDescent="0.3">
      <c r="A28"/>
      <c r="D28"/>
    </row>
    <row r="29" spans="1:4" x14ac:dyDescent="0.3">
      <c r="A29"/>
      <c r="D29"/>
    </row>
    <row r="30" spans="1:4" x14ac:dyDescent="0.3">
      <c r="A30"/>
      <c r="D30"/>
    </row>
    <row r="31" spans="1:4" x14ac:dyDescent="0.3">
      <c r="A31"/>
      <c r="D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9DA0-9075-4AA6-984B-E5E2F807A8AE}">
  <dimension ref="A1:E173"/>
  <sheetViews>
    <sheetView workbookViewId="0">
      <pane ySplit="1" topLeftCell="A80" activePane="bottomLeft" state="frozen"/>
      <selection activeCell="H109" sqref="H109"/>
      <selection pane="bottomLeft" activeCell="H109" sqref="H109"/>
    </sheetView>
  </sheetViews>
  <sheetFormatPr defaultRowHeight="14.4" x14ac:dyDescent="0.3"/>
  <cols>
    <col min="1" max="1" width="11.44140625" bestFit="1" customWidth="1"/>
    <col min="2" max="2" width="41.5546875" bestFit="1" customWidth="1"/>
    <col min="3" max="3" width="43" bestFit="1" customWidth="1"/>
    <col min="4" max="4" width="37.5546875" bestFit="1" customWidth="1"/>
    <col min="5" max="5" width="26.109375" bestFit="1" customWidth="1"/>
  </cols>
  <sheetData>
    <row r="1" spans="1:5" x14ac:dyDescent="0.3">
      <c r="A1" s="1" t="s">
        <v>0</v>
      </c>
      <c r="B1" t="s">
        <v>10</v>
      </c>
      <c r="C1" s="1" t="s">
        <v>79</v>
      </c>
      <c r="D1" t="s">
        <v>80</v>
      </c>
      <c r="E1" t="s">
        <v>81</v>
      </c>
    </row>
    <row r="2" spans="1:5" x14ac:dyDescent="0.3">
      <c r="A2" s="6">
        <v>321</v>
      </c>
      <c r="B2" t="s">
        <v>106</v>
      </c>
      <c r="C2" s="9" t="s">
        <v>106</v>
      </c>
      <c r="D2" t="s">
        <v>83</v>
      </c>
    </row>
    <row r="3" spans="1:5" x14ac:dyDescent="0.3">
      <c r="A3" s="6">
        <v>325</v>
      </c>
      <c r="B3" t="s">
        <v>107</v>
      </c>
      <c r="C3" s="9" t="s">
        <v>107</v>
      </c>
      <c r="D3" t="s">
        <v>83</v>
      </c>
    </row>
    <row r="4" spans="1:5" x14ac:dyDescent="0.3">
      <c r="A4" s="6">
        <v>279</v>
      </c>
      <c r="B4" t="s">
        <v>116</v>
      </c>
      <c r="C4" s="9" t="s">
        <v>116</v>
      </c>
      <c r="D4" t="s">
        <v>83</v>
      </c>
    </row>
    <row r="5" spans="1:5" x14ac:dyDescent="0.3">
      <c r="A5" s="6">
        <v>280</v>
      </c>
      <c r="B5" t="s">
        <v>117</v>
      </c>
      <c r="C5" s="9" t="s">
        <v>117</v>
      </c>
      <c r="D5" t="s">
        <v>83</v>
      </c>
    </row>
    <row r="6" spans="1:5" x14ac:dyDescent="0.3">
      <c r="A6" s="6">
        <v>322</v>
      </c>
      <c r="B6" t="s">
        <v>120</v>
      </c>
      <c r="C6" s="9" t="s">
        <v>120</v>
      </c>
      <c r="D6" t="s">
        <v>83</v>
      </c>
    </row>
    <row r="7" spans="1:5" x14ac:dyDescent="0.3">
      <c r="A7" s="6">
        <v>289</v>
      </c>
      <c r="B7" t="s">
        <v>126</v>
      </c>
      <c r="C7" s="9" t="s">
        <v>126</v>
      </c>
      <c r="D7" t="s">
        <v>83</v>
      </c>
    </row>
    <row r="8" spans="1:5" x14ac:dyDescent="0.3">
      <c r="A8" s="6">
        <v>328</v>
      </c>
      <c r="B8" t="s">
        <v>154</v>
      </c>
      <c r="C8" s="9" t="s">
        <v>154</v>
      </c>
      <c r="D8" t="s">
        <v>83</v>
      </c>
    </row>
    <row r="9" spans="1:5" x14ac:dyDescent="0.3">
      <c r="A9" s="6">
        <v>318</v>
      </c>
      <c r="B9" t="s">
        <v>155</v>
      </c>
      <c r="C9" s="9" t="s">
        <v>155</v>
      </c>
      <c r="D9" t="s">
        <v>83</v>
      </c>
    </row>
    <row r="10" spans="1:5" x14ac:dyDescent="0.3">
      <c r="A10" s="6">
        <v>324</v>
      </c>
      <c r="B10" t="s">
        <v>53</v>
      </c>
      <c r="C10" s="9" t="s">
        <v>53</v>
      </c>
      <c r="D10" t="s">
        <v>83</v>
      </c>
    </row>
    <row r="11" spans="1:5" x14ac:dyDescent="0.3">
      <c r="A11" s="6">
        <v>323</v>
      </c>
      <c r="B11" t="s">
        <v>47</v>
      </c>
      <c r="C11" s="9" t="s">
        <v>47</v>
      </c>
      <c r="D11" t="s">
        <v>83</v>
      </c>
    </row>
    <row r="12" spans="1:5" x14ac:dyDescent="0.3">
      <c r="A12" s="6">
        <v>328</v>
      </c>
      <c r="B12" t="s">
        <v>158</v>
      </c>
      <c r="C12" s="9" t="s">
        <v>158</v>
      </c>
      <c r="D12" t="s">
        <v>83</v>
      </c>
    </row>
    <row r="13" spans="1:5" x14ac:dyDescent="0.3">
      <c r="A13" s="6">
        <v>329</v>
      </c>
      <c r="B13" t="s">
        <v>160</v>
      </c>
      <c r="C13" s="9" t="s">
        <v>160</v>
      </c>
      <c r="D13" t="s">
        <v>83</v>
      </c>
    </row>
    <row r="14" spans="1:5" x14ac:dyDescent="0.3">
      <c r="A14" s="6">
        <v>330</v>
      </c>
      <c r="B14" t="s">
        <v>161</v>
      </c>
      <c r="C14" s="9" t="s">
        <v>161</v>
      </c>
      <c r="D14" t="s">
        <v>83</v>
      </c>
    </row>
    <row r="15" spans="1:5" x14ac:dyDescent="0.3">
      <c r="A15" s="6">
        <v>331</v>
      </c>
      <c r="B15" t="s">
        <v>162</v>
      </c>
      <c r="C15" s="9" t="s">
        <v>162</v>
      </c>
      <c r="D15" t="s">
        <v>83</v>
      </c>
    </row>
    <row r="16" spans="1:5" x14ac:dyDescent="0.3">
      <c r="A16" s="6">
        <v>345</v>
      </c>
      <c r="B16" t="s">
        <v>163</v>
      </c>
      <c r="C16" s="9" t="s">
        <v>163</v>
      </c>
      <c r="D16" t="s">
        <v>83</v>
      </c>
    </row>
    <row r="17" spans="1:4" x14ac:dyDescent="0.3">
      <c r="A17" s="6">
        <v>332</v>
      </c>
      <c r="B17" t="s">
        <v>164</v>
      </c>
      <c r="C17" s="9" t="s">
        <v>164</v>
      </c>
      <c r="D17" t="s">
        <v>83</v>
      </c>
    </row>
    <row r="18" spans="1:4" x14ac:dyDescent="0.3">
      <c r="A18" s="6">
        <v>343</v>
      </c>
      <c r="B18" t="s">
        <v>165</v>
      </c>
      <c r="C18" s="9" t="s">
        <v>165</v>
      </c>
      <c r="D18" t="s">
        <v>83</v>
      </c>
    </row>
    <row r="19" spans="1:4" x14ac:dyDescent="0.3">
      <c r="A19" s="6">
        <v>338</v>
      </c>
      <c r="B19" t="s">
        <v>171</v>
      </c>
      <c r="C19" s="9" t="s">
        <v>171</v>
      </c>
      <c r="D19" t="s">
        <v>83</v>
      </c>
    </row>
    <row r="20" spans="1:4" x14ac:dyDescent="0.3">
      <c r="A20" s="6">
        <v>339</v>
      </c>
      <c r="B20" t="s">
        <v>172</v>
      </c>
      <c r="C20" s="9" t="s">
        <v>172</v>
      </c>
      <c r="D20" t="s">
        <v>83</v>
      </c>
    </row>
    <row r="21" spans="1:4" x14ac:dyDescent="0.3">
      <c r="A21" s="6">
        <v>346</v>
      </c>
      <c r="B21" t="s">
        <v>173</v>
      </c>
      <c r="C21" s="9" t="s">
        <v>173</v>
      </c>
      <c r="D21" t="s">
        <v>83</v>
      </c>
    </row>
    <row r="22" spans="1:4" x14ac:dyDescent="0.3">
      <c r="A22" s="6">
        <v>344</v>
      </c>
      <c r="B22" t="s">
        <v>175</v>
      </c>
      <c r="C22" s="9" t="s">
        <v>175</v>
      </c>
      <c r="D22" t="s">
        <v>83</v>
      </c>
    </row>
    <row r="23" spans="1:4" x14ac:dyDescent="0.3">
      <c r="A23" s="6">
        <v>342</v>
      </c>
      <c r="B23" t="s">
        <v>178</v>
      </c>
      <c r="C23" s="9" t="s">
        <v>178</v>
      </c>
      <c r="D23" t="s">
        <v>195</v>
      </c>
    </row>
    <row r="24" spans="1:4" x14ac:dyDescent="0.3">
      <c r="A24" s="6">
        <v>358</v>
      </c>
      <c r="B24" t="s">
        <v>28</v>
      </c>
      <c r="C24" s="9" t="s">
        <v>28</v>
      </c>
    </row>
    <row r="25" spans="1:4" x14ac:dyDescent="0.3">
      <c r="A25" s="6">
        <v>360</v>
      </c>
      <c r="B25" t="s">
        <v>193</v>
      </c>
      <c r="C25" s="9" t="s">
        <v>193</v>
      </c>
      <c r="D25" t="s">
        <v>192</v>
      </c>
    </row>
    <row r="26" spans="1:4" x14ac:dyDescent="0.3">
      <c r="A26" s="6">
        <v>362</v>
      </c>
      <c r="B26" t="s">
        <v>196</v>
      </c>
      <c r="C26" s="9" t="s">
        <v>196</v>
      </c>
      <c r="D26" t="s">
        <v>195</v>
      </c>
    </row>
    <row r="27" spans="1:4" x14ac:dyDescent="0.3">
      <c r="A27" s="6">
        <v>370</v>
      </c>
      <c r="B27" t="s">
        <v>56</v>
      </c>
      <c r="C27" s="9" t="s">
        <v>56</v>
      </c>
      <c r="D27" t="s">
        <v>182</v>
      </c>
    </row>
    <row r="28" spans="1:4" x14ac:dyDescent="0.3">
      <c r="A28" s="6">
        <v>373</v>
      </c>
      <c r="B28" t="s">
        <v>459</v>
      </c>
      <c r="C28" s="9" t="s">
        <v>459</v>
      </c>
      <c r="D28" t="s">
        <v>83</v>
      </c>
    </row>
    <row r="29" spans="1:4" x14ac:dyDescent="0.3">
      <c r="A29" s="6">
        <v>375</v>
      </c>
      <c r="B29" t="s">
        <v>462</v>
      </c>
      <c r="C29" s="9" t="s">
        <v>462</v>
      </c>
      <c r="D29" t="s">
        <v>83</v>
      </c>
    </row>
    <row r="30" spans="1:4" x14ac:dyDescent="0.3">
      <c r="A30" s="6">
        <v>382</v>
      </c>
      <c r="B30" t="s">
        <v>469</v>
      </c>
      <c r="C30" s="9" t="s">
        <v>469</v>
      </c>
      <c r="D30" t="s">
        <v>83</v>
      </c>
    </row>
    <row r="31" spans="1:4" x14ac:dyDescent="0.3">
      <c r="A31" s="6">
        <v>355</v>
      </c>
      <c r="B31" t="s">
        <v>499</v>
      </c>
      <c r="C31" s="9" t="s">
        <v>499</v>
      </c>
      <c r="D31" t="s">
        <v>83</v>
      </c>
    </row>
    <row r="32" spans="1:4" x14ac:dyDescent="0.3">
      <c r="A32" s="6">
        <v>357</v>
      </c>
      <c r="B32" t="s">
        <v>500</v>
      </c>
      <c r="C32" s="9" t="s">
        <v>500</v>
      </c>
      <c r="D32" t="s">
        <v>83</v>
      </c>
    </row>
    <row r="33" spans="1:4" x14ac:dyDescent="0.3">
      <c r="A33" s="6">
        <v>322</v>
      </c>
      <c r="B33" t="s">
        <v>159</v>
      </c>
      <c r="C33" s="9" t="s">
        <v>159</v>
      </c>
      <c r="D33" t="s">
        <v>83</v>
      </c>
    </row>
    <row r="34" spans="1:4" x14ac:dyDescent="0.3">
      <c r="A34" s="6">
        <v>336</v>
      </c>
      <c r="B34" t="s">
        <v>169</v>
      </c>
      <c r="C34" s="9" t="s">
        <v>169</v>
      </c>
      <c r="D34" t="s">
        <v>83</v>
      </c>
    </row>
    <row r="35" spans="1:4" x14ac:dyDescent="0.3">
      <c r="A35" s="6">
        <v>337</v>
      </c>
      <c r="B35" t="s">
        <v>170</v>
      </c>
      <c r="C35" s="9" t="s">
        <v>170</v>
      </c>
      <c r="D35" t="s">
        <v>83</v>
      </c>
    </row>
    <row r="36" spans="1:4" x14ac:dyDescent="0.3">
      <c r="A36" s="6">
        <v>349</v>
      </c>
      <c r="B36" t="s">
        <v>180</v>
      </c>
      <c r="C36" s="9" t="s">
        <v>180</v>
      </c>
      <c r="D36" t="s">
        <v>83</v>
      </c>
    </row>
    <row r="37" spans="1:4" x14ac:dyDescent="0.3">
      <c r="A37" s="6">
        <v>351</v>
      </c>
      <c r="B37" t="s">
        <v>183</v>
      </c>
      <c r="C37" s="9" t="s">
        <v>183</v>
      </c>
      <c r="D37" t="s">
        <v>501</v>
      </c>
    </row>
    <row r="38" spans="1:4" x14ac:dyDescent="0.3">
      <c r="A38" s="6">
        <v>352</v>
      </c>
      <c r="B38" t="s">
        <v>184</v>
      </c>
      <c r="C38" s="9" t="s">
        <v>184</v>
      </c>
      <c r="D38" t="s">
        <v>501</v>
      </c>
    </row>
    <row r="39" spans="1:4" x14ac:dyDescent="0.3">
      <c r="A39" s="6">
        <v>352</v>
      </c>
      <c r="B39" t="s">
        <v>185</v>
      </c>
      <c r="C39" s="9" t="s">
        <v>185</v>
      </c>
      <c r="D39" t="s">
        <v>501</v>
      </c>
    </row>
    <row r="40" spans="1:4" x14ac:dyDescent="0.3">
      <c r="A40" s="6">
        <v>353</v>
      </c>
      <c r="B40" t="s">
        <v>186</v>
      </c>
      <c r="C40" s="9" t="s">
        <v>186</v>
      </c>
      <c r="D40" t="s">
        <v>501</v>
      </c>
    </row>
    <row r="41" spans="1:4" x14ac:dyDescent="0.3">
      <c r="A41" s="6">
        <v>354</v>
      </c>
      <c r="B41" t="s">
        <v>187</v>
      </c>
      <c r="C41" s="9" t="s">
        <v>187</v>
      </c>
      <c r="D41" t="s">
        <v>501</v>
      </c>
    </row>
    <row r="42" spans="1:4" x14ac:dyDescent="0.3">
      <c r="A42" s="6">
        <v>355</v>
      </c>
      <c r="B42" t="s">
        <v>188</v>
      </c>
      <c r="C42" s="9" t="s">
        <v>188</v>
      </c>
      <c r="D42" t="s">
        <v>501</v>
      </c>
    </row>
    <row r="43" spans="1:4" x14ac:dyDescent="0.3">
      <c r="A43" s="6">
        <v>357</v>
      </c>
      <c r="B43" t="s">
        <v>189</v>
      </c>
      <c r="C43" s="9" t="s">
        <v>189</v>
      </c>
      <c r="D43" t="s">
        <v>190</v>
      </c>
    </row>
    <row r="44" spans="1:4" x14ac:dyDescent="0.3">
      <c r="A44" s="6">
        <v>363</v>
      </c>
      <c r="B44" t="s">
        <v>197</v>
      </c>
      <c r="C44" s="9" t="s">
        <v>197</v>
      </c>
      <c r="D44" t="s">
        <v>195</v>
      </c>
    </row>
    <row r="45" spans="1:4" x14ac:dyDescent="0.3">
      <c r="A45" s="6">
        <v>251</v>
      </c>
      <c r="B45" t="s">
        <v>82</v>
      </c>
      <c r="C45" s="9" t="s">
        <v>82</v>
      </c>
      <c r="D45" t="s">
        <v>83</v>
      </c>
    </row>
    <row r="46" spans="1:4" x14ac:dyDescent="0.3">
      <c r="A46" s="6">
        <v>252</v>
      </c>
      <c r="B46" t="s">
        <v>84</v>
      </c>
      <c r="C46" s="9" t="s">
        <v>84</v>
      </c>
      <c r="D46" t="s">
        <v>83</v>
      </c>
    </row>
    <row r="47" spans="1:4" x14ac:dyDescent="0.3">
      <c r="A47" s="6">
        <v>253</v>
      </c>
      <c r="B47" t="s">
        <v>85</v>
      </c>
      <c r="C47" s="9" t="s">
        <v>85</v>
      </c>
      <c r="D47" t="s">
        <v>83</v>
      </c>
    </row>
    <row r="48" spans="1:4" x14ac:dyDescent="0.3">
      <c r="A48" s="6">
        <v>254</v>
      </c>
      <c r="B48" t="s">
        <v>86</v>
      </c>
      <c r="C48" s="9" t="s">
        <v>86</v>
      </c>
      <c r="D48" t="s">
        <v>83</v>
      </c>
    </row>
    <row r="49" spans="1:4" x14ac:dyDescent="0.3">
      <c r="A49" s="6">
        <v>255</v>
      </c>
      <c r="B49" t="s">
        <v>87</v>
      </c>
      <c r="C49" s="9" t="s">
        <v>87</v>
      </c>
      <c r="D49" t="s">
        <v>83</v>
      </c>
    </row>
    <row r="50" spans="1:4" x14ac:dyDescent="0.3">
      <c r="A50" s="6">
        <v>256</v>
      </c>
      <c r="B50" t="s">
        <v>88</v>
      </c>
      <c r="C50" s="9" t="s">
        <v>88</v>
      </c>
      <c r="D50" t="s">
        <v>83</v>
      </c>
    </row>
    <row r="51" spans="1:4" x14ac:dyDescent="0.3">
      <c r="A51" s="6">
        <v>257</v>
      </c>
      <c r="B51" t="s">
        <v>89</v>
      </c>
      <c r="C51" s="9" t="s">
        <v>89</v>
      </c>
      <c r="D51" t="s">
        <v>83</v>
      </c>
    </row>
    <row r="52" spans="1:4" x14ac:dyDescent="0.3">
      <c r="A52" s="6">
        <v>258</v>
      </c>
      <c r="B52" t="s">
        <v>90</v>
      </c>
      <c r="C52" s="9" t="s">
        <v>90</v>
      </c>
      <c r="D52" t="s">
        <v>83</v>
      </c>
    </row>
    <row r="53" spans="1:4" x14ac:dyDescent="0.3">
      <c r="A53" s="6">
        <v>259</v>
      </c>
      <c r="B53" t="s">
        <v>91</v>
      </c>
      <c r="C53" s="9" t="s">
        <v>91</v>
      </c>
      <c r="D53" t="s">
        <v>83</v>
      </c>
    </row>
    <row r="54" spans="1:4" x14ac:dyDescent="0.3">
      <c r="A54" s="6">
        <v>260</v>
      </c>
      <c r="B54" t="s">
        <v>92</v>
      </c>
      <c r="C54" s="9" t="s">
        <v>92</v>
      </c>
      <c r="D54" t="s">
        <v>83</v>
      </c>
    </row>
    <row r="55" spans="1:4" x14ac:dyDescent="0.3">
      <c r="A55" s="6">
        <v>261</v>
      </c>
      <c r="B55" t="s">
        <v>93</v>
      </c>
      <c r="C55" s="9" t="s">
        <v>93</v>
      </c>
      <c r="D55" t="s">
        <v>83</v>
      </c>
    </row>
    <row r="56" spans="1:4" x14ac:dyDescent="0.3">
      <c r="A56" s="6">
        <v>262</v>
      </c>
      <c r="B56" t="s">
        <v>94</v>
      </c>
      <c r="C56" s="9" t="s">
        <v>94</v>
      </c>
      <c r="D56" t="s">
        <v>83</v>
      </c>
    </row>
    <row r="57" spans="1:4" x14ac:dyDescent="0.3">
      <c r="A57" s="6">
        <v>263</v>
      </c>
      <c r="B57" t="s">
        <v>95</v>
      </c>
      <c r="C57" s="9" t="s">
        <v>95</v>
      </c>
      <c r="D57" t="s">
        <v>83</v>
      </c>
    </row>
    <row r="58" spans="1:4" x14ac:dyDescent="0.3">
      <c r="A58" s="6">
        <v>264</v>
      </c>
      <c r="B58" t="s">
        <v>96</v>
      </c>
      <c r="C58" s="9" t="s">
        <v>96</v>
      </c>
      <c r="D58" t="s">
        <v>83</v>
      </c>
    </row>
    <row r="59" spans="1:4" x14ac:dyDescent="0.3">
      <c r="A59" s="6">
        <v>265</v>
      </c>
      <c r="B59" t="s">
        <v>97</v>
      </c>
      <c r="C59" s="9" t="s">
        <v>97</v>
      </c>
      <c r="D59" t="s">
        <v>83</v>
      </c>
    </row>
    <row r="60" spans="1:4" x14ac:dyDescent="0.3">
      <c r="A60" s="6">
        <v>266</v>
      </c>
      <c r="B60" t="s">
        <v>98</v>
      </c>
      <c r="C60" s="9" t="s">
        <v>98</v>
      </c>
      <c r="D60" t="s">
        <v>83</v>
      </c>
    </row>
    <row r="61" spans="1:4" x14ac:dyDescent="0.3">
      <c r="A61" s="6">
        <v>267</v>
      </c>
      <c r="B61" t="s">
        <v>99</v>
      </c>
      <c r="C61" s="9" t="s">
        <v>99</v>
      </c>
      <c r="D61" t="s">
        <v>83</v>
      </c>
    </row>
    <row r="62" spans="1:4" x14ac:dyDescent="0.3">
      <c r="A62" s="6">
        <v>268</v>
      </c>
      <c r="B62" t="s">
        <v>100</v>
      </c>
      <c r="C62" s="9" t="s">
        <v>100</v>
      </c>
      <c r="D62" t="s">
        <v>83</v>
      </c>
    </row>
    <row r="63" spans="1:4" x14ac:dyDescent="0.3">
      <c r="A63" s="6">
        <v>269</v>
      </c>
      <c r="B63" t="s">
        <v>101</v>
      </c>
      <c r="C63" s="9" t="s">
        <v>101</v>
      </c>
      <c r="D63" t="s">
        <v>83</v>
      </c>
    </row>
    <row r="64" spans="1:4" x14ac:dyDescent="0.3">
      <c r="A64" s="6">
        <v>270</v>
      </c>
      <c r="B64" t="s">
        <v>102</v>
      </c>
      <c r="C64" s="9" t="s">
        <v>102</v>
      </c>
      <c r="D64" t="s">
        <v>83</v>
      </c>
    </row>
    <row r="65" spans="1:4" x14ac:dyDescent="0.3">
      <c r="A65" s="6">
        <v>271</v>
      </c>
      <c r="B65" t="s">
        <v>103</v>
      </c>
      <c r="C65" s="9" t="s">
        <v>103</v>
      </c>
      <c r="D65" t="s">
        <v>83</v>
      </c>
    </row>
    <row r="66" spans="1:4" x14ac:dyDescent="0.3">
      <c r="A66" s="6">
        <v>282</v>
      </c>
      <c r="B66" t="s">
        <v>104</v>
      </c>
      <c r="C66" s="9" t="s">
        <v>104</v>
      </c>
      <c r="D66" t="s">
        <v>83</v>
      </c>
    </row>
    <row r="67" spans="1:4" x14ac:dyDescent="0.3">
      <c r="A67" s="6">
        <v>320</v>
      </c>
      <c r="B67" t="s">
        <v>105</v>
      </c>
      <c r="C67" s="9" t="s">
        <v>105</v>
      </c>
      <c r="D67" t="s">
        <v>83</v>
      </c>
    </row>
    <row r="68" spans="1:4" x14ac:dyDescent="0.3">
      <c r="A68" s="6">
        <v>326</v>
      </c>
      <c r="B68" t="s">
        <v>108</v>
      </c>
      <c r="C68" s="9" t="s">
        <v>108</v>
      </c>
      <c r="D68" t="s">
        <v>83</v>
      </c>
    </row>
    <row r="69" spans="1:4" x14ac:dyDescent="0.3">
      <c r="A69" s="6">
        <v>272</v>
      </c>
      <c r="B69" t="s">
        <v>109</v>
      </c>
      <c r="C69" s="9" t="s">
        <v>109</v>
      </c>
      <c r="D69" t="s">
        <v>83</v>
      </c>
    </row>
    <row r="70" spans="1:4" x14ac:dyDescent="0.3">
      <c r="A70" s="6">
        <v>273</v>
      </c>
      <c r="B70" t="s">
        <v>110</v>
      </c>
      <c r="C70" s="9" t="s">
        <v>110</v>
      </c>
      <c r="D70" t="s">
        <v>83</v>
      </c>
    </row>
    <row r="71" spans="1:4" x14ac:dyDescent="0.3">
      <c r="A71" s="6">
        <v>274</v>
      </c>
      <c r="B71" t="s">
        <v>111</v>
      </c>
      <c r="C71" s="9" t="s">
        <v>111</v>
      </c>
      <c r="D71" t="s">
        <v>83</v>
      </c>
    </row>
    <row r="72" spans="1:4" x14ac:dyDescent="0.3">
      <c r="A72" s="6">
        <v>275</v>
      </c>
      <c r="B72" t="s">
        <v>112</v>
      </c>
      <c r="C72" s="9" t="s">
        <v>112</v>
      </c>
      <c r="D72" t="s">
        <v>83</v>
      </c>
    </row>
    <row r="73" spans="1:4" x14ac:dyDescent="0.3">
      <c r="A73" s="6">
        <v>276</v>
      </c>
      <c r="B73" t="s">
        <v>113</v>
      </c>
      <c r="C73" s="9" t="s">
        <v>113</v>
      </c>
      <c r="D73" t="s">
        <v>83</v>
      </c>
    </row>
    <row r="74" spans="1:4" x14ac:dyDescent="0.3">
      <c r="A74" s="6">
        <v>277</v>
      </c>
      <c r="B74" t="s">
        <v>502</v>
      </c>
      <c r="C74" s="9" t="s">
        <v>502</v>
      </c>
      <c r="D74" t="s">
        <v>83</v>
      </c>
    </row>
    <row r="75" spans="1:4" x14ac:dyDescent="0.3">
      <c r="A75" s="6">
        <v>278</v>
      </c>
      <c r="B75" t="s">
        <v>115</v>
      </c>
      <c r="C75" s="9" t="s">
        <v>115</v>
      </c>
      <c r="D75" t="s">
        <v>83</v>
      </c>
    </row>
    <row r="76" spans="1:4" x14ac:dyDescent="0.3">
      <c r="A76" s="6">
        <v>281</v>
      </c>
      <c r="B76" t="s">
        <v>118</v>
      </c>
      <c r="C76" s="9" t="s">
        <v>118</v>
      </c>
      <c r="D76" t="s">
        <v>83</v>
      </c>
    </row>
    <row r="77" spans="1:4" x14ac:dyDescent="0.3">
      <c r="A77" s="6">
        <v>283</v>
      </c>
      <c r="B77" t="s">
        <v>119</v>
      </c>
      <c r="C77" s="9" t="s">
        <v>119</v>
      </c>
      <c r="D77" t="s">
        <v>83</v>
      </c>
    </row>
    <row r="78" spans="1:4" x14ac:dyDescent="0.3">
      <c r="A78" s="6">
        <v>284</v>
      </c>
      <c r="B78" t="s">
        <v>121</v>
      </c>
      <c r="C78" s="9" t="s">
        <v>121</v>
      </c>
      <c r="D78" t="s">
        <v>83</v>
      </c>
    </row>
    <row r="79" spans="1:4" x14ac:dyDescent="0.3">
      <c r="A79" s="6">
        <v>285</v>
      </c>
      <c r="B79" t="s">
        <v>122</v>
      </c>
      <c r="C79" s="9" t="s">
        <v>122</v>
      </c>
      <c r="D79" t="s">
        <v>83</v>
      </c>
    </row>
    <row r="80" spans="1:4" x14ac:dyDescent="0.3">
      <c r="A80" s="6">
        <v>286</v>
      </c>
      <c r="B80" t="s">
        <v>123</v>
      </c>
      <c r="C80" s="9" t="s">
        <v>123</v>
      </c>
      <c r="D80" t="s">
        <v>83</v>
      </c>
    </row>
    <row r="81" spans="1:5" x14ac:dyDescent="0.3">
      <c r="A81" s="6">
        <v>287</v>
      </c>
      <c r="B81" t="s">
        <v>124</v>
      </c>
      <c r="C81" s="9" t="s">
        <v>124</v>
      </c>
      <c r="D81" t="s">
        <v>83</v>
      </c>
    </row>
    <row r="82" spans="1:5" x14ac:dyDescent="0.3">
      <c r="A82" s="6">
        <v>293</v>
      </c>
      <c r="B82" t="s">
        <v>125</v>
      </c>
      <c r="C82" s="9" t="s">
        <v>125</v>
      </c>
      <c r="D82" t="s">
        <v>83</v>
      </c>
      <c r="E82" t="s">
        <v>461</v>
      </c>
    </row>
    <row r="83" spans="1:5" x14ac:dyDescent="0.3">
      <c r="A83" s="6">
        <v>290</v>
      </c>
      <c r="B83" t="s">
        <v>127</v>
      </c>
      <c r="C83" s="9" t="s">
        <v>127</v>
      </c>
      <c r="D83" t="s">
        <v>83</v>
      </c>
    </row>
    <row r="84" spans="1:5" x14ac:dyDescent="0.3">
      <c r="A84" s="6">
        <v>291</v>
      </c>
      <c r="B84" t="s">
        <v>128</v>
      </c>
      <c r="C84" s="9" t="s">
        <v>128</v>
      </c>
      <c r="D84" t="s">
        <v>83</v>
      </c>
    </row>
    <row r="85" spans="1:5" x14ac:dyDescent="0.3">
      <c r="A85" s="6">
        <v>292</v>
      </c>
      <c r="B85" t="s">
        <v>129</v>
      </c>
      <c r="C85" s="9" t="s">
        <v>129</v>
      </c>
      <c r="D85" t="s">
        <v>83</v>
      </c>
    </row>
    <row r="86" spans="1:5" x14ac:dyDescent="0.3">
      <c r="A86" s="6">
        <v>294</v>
      </c>
      <c r="B86" t="s">
        <v>130</v>
      </c>
      <c r="C86" s="9" t="s">
        <v>130</v>
      </c>
      <c r="D86" t="s">
        <v>83</v>
      </c>
      <c r="E86" t="s">
        <v>461</v>
      </c>
    </row>
    <row r="87" spans="1:5" x14ac:dyDescent="0.3">
      <c r="A87" s="6">
        <v>295</v>
      </c>
      <c r="B87" t="s">
        <v>114</v>
      </c>
      <c r="C87" s="9" t="s">
        <v>114</v>
      </c>
      <c r="D87" t="s">
        <v>83</v>
      </c>
    </row>
    <row r="88" spans="1:5" x14ac:dyDescent="0.3">
      <c r="A88" s="6">
        <v>296</v>
      </c>
      <c r="B88" t="s">
        <v>132</v>
      </c>
      <c r="C88" s="9" t="s">
        <v>132</v>
      </c>
      <c r="D88" t="s">
        <v>133</v>
      </c>
    </row>
    <row r="89" spans="1:5" x14ac:dyDescent="0.3">
      <c r="A89" s="6">
        <v>297</v>
      </c>
      <c r="B89" t="s">
        <v>134</v>
      </c>
      <c r="C89" s="9" t="s">
        <v>134</v>
      </c>
      <c r="D89" t="s">
        <v>83</v>
      </c>
    </row>
    <row r="90" spans="1:5" x14ac:dyDescent="0.3">
      <c r="A90" s="6">
        <v>298</v>
      </c>
      <c r="B90" t="s">
        <v>135</v>
      </c>
      <c r="C90" s="9" t="s">
        <v>135</v>
      </c>
      <c r="D90" t="s">
        <v>83</v>
      </c>
    </row>
    <row r="91" spans="1:5" x14ac:dyDescent="0.3">
      <c r="A91" s="6">
        <v>299</v>
      </c>
      <c r="B91" t="s">
        <v>136</v>
      </c>
      <c r="C91" s="9" t="s">
        <v>136</v>
      </c>
      <c r="D91" t="s">
        <v>83</v>
      </c>
    </row>
    <row r="92" spans="1:5" x14ac:dyDescent="0.3">
      <c r="A92" s="6">
        <v>300</v>
      </c>
      <c r="B92" t="s">
        <v>137</v>
      </c>
      <c r="C92" s="9" t="s">
        <v>137</v>
      </c>
      <c r="D92" t="s">
        <v>83</v>
      </c>
    </row>
    <row r="93" spans="1:5" x14ac:dyDescent="0.3">
      <c r="A93" s="6">
        <v>301</v>
      </c>
      <c r="B93" t="s">
        <v>138</v>
      </c>
      <c r="C93" s="9" t="s">
        <v>138</v>
      </c>
      <c r="D93" t="s">
        <v>83</v>
      </c>
    </row>
    <row r="94" spans="1:5" x14ac:dyDescent="0.3">
      <c r="A94" s="6">
        <v>302</v>
      </c>
      <c r="B94" t="s">
        <v>139</v>
      </c>
      <c r="C94" s="9" t="s">
        <v>139</v>
      </c>
      <c r="D94" t="s">
        <v>83</v>
      </c>
    </row>
    <row r="95" spans="1:5" x14ac:dyDescent="0.3">
      <c r="A95" s="6">
        <v>303</v>
      </c>
      <c r="B95" t="s">
        <v>140</v>
      </c>
      <c r="C95" s="9" t="s">
        <v>140</v>
      </c>
      <c r="D95" t="s">
        <v>83</v>
      </c>
    </row>
    <row r="96" spans="1:5" x14ac:dyDescent="0.3">
      <c r="A96" s="6">
        <v>304</v>
      </c>
      <c r="B96" t="s">
        <v>141</v>
      </c>
      <c r="C96" s="9" t="s">
        <v>141</v>
      </c>
      <c r="D96" t="s">
        <v>83</v>
      </c>
    </row>
    <row r="97" spans="1:4" x14ac:dyDescent="0.3">
      <c r="A97" s="6">
        <v>305</v>
      </c>
      <c r="B97" t="s">
        <v>142</v>
      </c>
      <c r="C97" s="9" t="s">
        <v>142</v>
      </c>
      <c r="D97" t="s">
        <v>83</v>
      </c>
    </row>
    <row r="98" spans="1:4" x14ac:dyDescent="0.3">
      <c r="A98" s="6">
        <v>306</v>
      </c>
      <c r="B98" t="s">
        <v>143</v>
      </c>
      <c r="C98" s="9" t="s">
        <v>143</v>
      </c>
      <c r="D98" t="s">
        <v>83</v>
      </c>
    </row>
    <row r="99" spans="1:4" x14ac:dyDescent="0.3">
      <c r="A99" s="6">
        <v>307</v>
      </c>
      <c r="B99" t="s">
        <v>144</v>
      </c>
      <c r="C99" s="9" t="s">
        <v>144</v>
      </c>
      <c r="D99" t="s">
        <v>83</v>
      </c>
    </row>
    <row r="100" spans="1:4" x14ac:dyDescent="0.3">
      <c r="A100" s="6">
        <v>308</v>
      </c>
      <c r="B100" t="s">
        <v>145</v>
      </c>
      <c r="C100" s="9" t="s">
        <v>145</v>
      </c>
      <c r="D100" t="s">
        <v>83</v>
      </c>
    </row>
    <row r="101" spans="1:4" x14ac:dyDescent="0.3">
      <c r="A101" s="6">
        <v>309</v>
      </c>
      <c r="B101" t="s">
        <v>146</v>
      </c>
      <c r="C101" s="9" t="s">
        <v>146</v>
      </c>
      <c r="D101" t="s">
        <v>83</v>
      </c>
    </row>
    <row r="102" spans="1:4" x14ac:dyDescent="0.3">
      <c r="A102" s="6">
        <v>310</v>
      </c>
      <c r="B102" t="s">
        <v>147</v>
      </c>
      <c r="C102" s="9" t="s">
        <v>147</v>
      </c>
      <c r="D102" t="s">
        <v>83</v>
      </c>
    </row>
    <row r="103" spans="1:4" x14ac:dyDescent="0.3">
      <c r="A103" s="6">
        <v>311</v>
      </c>
      <c r="B103" t="s">
        <v>148</v>
      </c>
      <c r="C103" s="9" t="s">
        <v>148</v>
      </c>
      <c r="D103" t="s">
        <v>83</v>
      </c>
    </row>
    <row r="104" spans="1:4" x14ac:dyDescent="0.3">
      <c r="A104" s="6">
        <v>312</v>
      </c>
      <c r="B104" t="s">
        <v>149</v>
      </c>
      <c r="C104" s="9" t="s">
        <v>149</v>
      </c>
      <c r="D104" t="s">
        <v>83</v>
      </c>
    </row>
    <row r="105" spans="1:4" x14ac:dyDescent="0.3">
      <c r="A105" s="6">
        <v>313</v>
      </c>
      <c r="B105" t="s">
        <v>150</v>
      </c>
      <c r="C105" s="9" t="s">
        <v>150</v>
      </c>
      <c r="D105" t="s">
        <v>83</v>
      </c>
    </row>
    <row r="106" spans="1:4" x14ac:dyDescent="0.3">
      <c r="A106" s="6">
        <v>316</v>
      </c>
      <c r="B106" t="s">
        <v>151</v>
      </c>
      <c r="C106" s="9" t="s">
        <v>151</v>
      </c>
      <c r="D106" t="s">
        <v>83</v>
      </c>
    </row>
    <row r="107" spans="1:4" x14ac:dyDescent="0.3">
      <c r="A107" s="6">
        <v>321</v>
      </c>
      <c r="B107" t="s">
        <v>152</v>
      </c>
      <c r="C107" s="9" t="s">
        <v>152</v>
      </c>
      <c r="D107" t="s">
        <v>83</v>
      </c>
    </row>
    <row r="108" spans="1:4" x14ac:dyDescent="0.3">
      <c r="A108" s="6">
        <v>317</v>
      </c>
      <c r="B108" t="s">
        <v>153</v>
      </c>
      <c r="C108" s="9" t="s">
        <v>153</v>
      </c>
      <c r="D108" t="s">
        <v>83</v>
      </c>
    </row>
    <row r="109" spans="1:4" x14ac:dyDescent="0.3">
      <c r="A109" s="6">
        <v>319</v>
      </c>
      <c r="B109" t="s">
        <v>156</v>
      </c>
      <c r="C109" s="9" t="s">
        <v>156</v>
      </c>
      <c r="D109" t="s">
        <v>83</v>
      </c>
    </row>
    <row r="110" spans="1:4" x14ac:dyDescent="0.3">
      <c r="A110" s="6">
        <v>288</v>
      </c>
      <c r="B110" t="s">
        <v>157</v>
      </c>
      <c r="C110" s="9" t="s">
        <v>157</v>
      </c>
    </row>
    <row r="111" spans="1:4" x14ac:dyDescent="0.3">
      <c r="A111" s="6">
        <v>327</v>
      </c>
      <c r="B111" t="s">
        <v>147</v>
      </c>
      <c r="C111" s="9" t="s">
        <v>147</v>
      </c>
      <c r="D111" t="s">
        <v>83</v>
      </c>
    </row>
    <row r="112" spans="1:4" x14ac:dyDescent="0.3">
      <c r="A112" s="6">
        <v>333</v>
      </c>
      <c r="B112" t="s">
        <v>166</v>
      </c>
      <c r="C112" s="9" t="s">
        <v>166</v>
      </c>
      <c r="D112" t="s">
        <v>83</v>
      </c>
    </row>
    <row r="113" spans="1:5" x14ac:dyDescent="0.3">
      <c r="A113" s="6">
        <v>334</v>
      </c>
      <c r="B113" t="s">
        <v>167</v>
      </c>
      <c r="C113" s="9" t="s">
        <v>167</v>
      </c>
      <c r="D113" t="s">
        <v>83</v>
      </c>
    </row>
    <row r="114" spans="1:5" x14ac:dyDescent="0.3">
      <c r="A114" s="6">
        <v>335</v>
      </c>
      <c r="B114" t="s">
        <v>168</v>
      </c>
      <c r="C114" s="9" t="s">
        <v>168</v>
      </c>
      <c r="D114" t="s">
        <v>83</v>
      </c>
    </row>
    <row r="115" spans="1:5" x14ac:dyDescent="0.3">
      <c r="A115" s="6">
        <v>340</v>
      </c>
      <c r="B115" t="s">
        <v>174</v>
      </c>
      <c r="C115" s="9" t="s">
        <v>174</v>
      </c>
      <c r="D115" t="s">
        <v>83</v>
      </c>
    </row>
    <row r="116" spans="1:5" x14ac:dyDescent="0.3">
      <c r="A116" s="6">
        <v>347</v>
      </c>
      <c r="B116" t="s">
        <v>176</v>
      </c>
      <c r="C116" s="9" t="s">
        <v>176</v>
      </c>
      <c r="D116" t="s">
        <v>83</v>
      </c>
    </row>
    <row r="117" spans="1:5" x14ac:dyDescent="0.3">
      <c r="A117" s="6">
        <v>341</v>
      </c>
      <c r="B117" t="s">
        <v>177</v>
      </c>
      <c r="C117" s="9" t="s">
        <v>177</v>
      </c>
      <c r="D117" t="s">
        <v>195</v>
      </c>
    </row>
    <row r="118" spans="1:5" x14ac:dyDescent="0.3">
      <c r="A118" s="6">
        <v>348</v>
      </c>
      <c r="B118" t="s">
        <v>179</v>
      </c>
      <c r="C118" s="9" t="s">
        <v>179</v>
      </c>
      <c r="D118" t="s">
        <v>83</v>
      </c>
    </row>
    <row r="119" spans="1:5" x14ac:dyDescent="0.3">
      <c r="A119" s="6">
        <v>350</v>
      </c>
      <c r="B119" t="s">
        <v>181</v>
      </c>
      <c r="C119" s="9" t="s">
        <v>181</v>
      </c>
      <c r="D119" t="s">
        <v>501</v>
      </c>
      <c r="E119" t="s">
        <v>461</v>
      </c>
    </row>
    <row r="120" spans="1:5" x14ac:dyDescent="0.3">
      <c r="A120" s="6">
        <v>359</v>
      </c>
      <c r="B120" t="s">
        <v>191</v>
      </c>
      <c r="C120" s="9" t="s">
        <v>191</v>
      </c>
      <c r="D120" t="s">
        <v>192</v>
      </c>
    </row>
    <row r="121" spans="1:5" x14ac:dyDescent="0.3">
      <c r="A121" s="6">
        <v>361</v>
      </c>
      <c r="B121" t="s">
        <v>194</v>
      </c>
      <c r="C121" s="9" t="s">
        <v>194</v>
      </c>
      <c r="D121" t="s">
        <v>195</v>
      </c>
    </row>
    <row r="122" spans="1:5" x14ac:dyDescent="0.3">
      <c r="A122" s="6">
        <v>364</v>
      </c>
      <c r="B122" t="s">
        <v>198</v>
      </c>
      <c r="C122" s="9" t="s">
        <v>198</v>
      </c>
      <c r="D122" t="s">
        <v>83</v>
      </c>
    </row>
    <row r="123" spans="1:5" x14ac:dyDescent="0.3">
      <c r="A123" s="6">
        <v>365</v>
      </c>
      <c r="B123" t="s">
        <v>199</v>
      </c>
      <c r="C123" s="9" t="s">
        <v>199</v>
      </c>
      <c r="D123" t="s">
        <v>83</v>
      </c>
    </row>
    <row r="124" spans="1:5" x14ac:dyDescent="0.3">
      <c r="A124" s="6">
        <v>366</v>
      </c>
      <c r="B124" t="s">
        <v>200</v>
      </c>
      <c r="C124" s="9" t="s">
        <v>200</v>
      </c>
      <c r="D124" t="s">
        <v>83</v>
      </c>
    </row>
    <row r="125" spans="1:5" x14ac:dyDescent="0.3">
      <c r="A125" s="6">
        <v>367</v>
      </c>
      <c r="B125" t="s">
        <v>201</v>
      </c>
      <c r="C125" s="9" t="s">
        <v>201</v>
      </c>
      <c r="D125" t="s">
        <v>83</v>
      </c>
    </row>
    <row r="126" spans="1:5" x14ac:dyDescent="0.3">
      <c r="A126" s="6">
        <v>368</v>
      </c>
      <c r="B126" t="s">
        <v>202</v>
      </c>
      <c r="C126" s="9" t="s">
        <v>202</v>
      </c>
      <c r="D126" t="s">
        <v>203</v>
      </c>
    </row>
    <row r="127" spans="1:5" x14ac:dyDescent="0.3">
      <c r="A127" s="6">
        <v>369</v>
      </c>
      <c r="B127" t="s">
        <v>204</v>
      </c>
      <c r="C127" s="9" t="s">
        <v>204</v>
      </c>
      <c r="D127" t="s">
        <v>83</v>
      </c>
    </row>
    <row r="128" spans="1:5" x14ac:dyDescent="0.3">
      <c r="A128" s="6">
        <v>371</v>
      </c>
      <c r="B128" t="s">
        <v>205</v>
      </c>
      <c r="C128" s="9" t="s">
        <v>205</v>
      </c>
      <c r="D128" t="s">
        <v>83</v>
      </c>
    </row>
    <row r="129" spans="1:5" x14ac:dyDescent="0.3">
      <c r="A129" s="6">
        <v>372</v>
      </c>
      <c r="B129" t="s">
        <v>206</v>
      </c>
      <c r="C129" s="9" t="s">
        <v>206</v>
      </c>
      <c r="D129" t="s">
        <v>83</v>
      </c>
    </row>
    <row r="130" spans="1:5" x14ac:dyDescent="0.3">
      <c r="A130" s="6">
        <v>374</v>
      </c>
      <c r="B130" t="s">
        <v>460</v>
      </c>
      <c r="C130" s="9" t="s">
        <v>460</v>
      </c>
      <c r="D130" t="s">
        <v>83</v>
      </c>
      <c r="E130" t="s">
        <v>461</v>
      </c>
    </row>
    <row r="131" spans="1:5" x14ac:dyDescent="0.3">
      <c r="A131" s="6">
        <v>376</v>
      </c>
      <c r="B131" t="s">
        <v>463</v>
      </c>
      <c r="C131" s="9" t="s">
        <v>463</v>
      </c>
      <c r="D131" t="s">
        <v>83</v>
      </c>
    </row>
    <row r="132" spans="1:5" x14ac:dyDescent="0.3">
      <c r="A132" s="6">
        <v>377</v>
      </c>
      <c r="B132" t="s">
        <v>464</v>
      </c>
      <c r="C132" s="9" t="s">
        <v>464</v>
      </c>
      <c r="D132" t="s">
        <v>83</v>
      </c>
    </row>
    <row r="133" spans="1:5" x14ac:dyDescent="0.3">
      <c r="A133" s="6">
        <v>378</v>
      </c>
      <c r="B133" t="s">
        <v>465</v>
      </c>
      <c r="C133" s="9" t="s">
        <v>465</v>
      </c>
      <c r="D133" t="s">
        <v>83</v>
      </c>
    </row>
    <row r="134" spans="1:5" x14ac:dyDescent="0.3">
      <c r="A134" s="6">
        <v>379</v>
      </c>
      <c r="B134" t="s">
        <v>466</v>
      </c>
      <c r="C134" s="9" t="s">
        <v>466</v>
      </c>
      <c r="D134" t="s">
        <v>83</v>
      </c>
    </row>
    <row r="135" spans="1:5" x14ac:dyDescent="0.3">
      <c r="A135" s="6">
        <v>380</v>
      </c>
      <c r="B135" t="s">
        <v>467</v>
      </c>
      <c r="C135" s="9" t="s">
        <v>467</v>
      </c>
      <c r="D135" t="s">
        <v>83</v>
      </c>
      <c r="E135" t="s">
        <v>461</v>
      </c>
    </row>
    <row r="136" spans="1:5" x14ac:dyDescent="0.3">
      <c r="A136" s="6">
        <v>381</v>
      </c>
      <c r="B136" t="s">
        <v>468</v>
      </c>
      <c r="C136" s="9" t="s">
        <v>468</v>
      </c>
      <c r="D136" t="s">
        <v>83</v>
      </c>
    </row>
    <row r="137" spans="1:5" x14ac:dyDescent="0.3">
      <c r="A137" s="6">
        <v>334</v>
      </c>
      <c r="B137" t="s">
        <v>503</v>
      </c>
      <c r="C137" s="9" t="s">
        <v>503</v>
      </c>
    </row>
    <row r="138" spans="1:5" x14ac:dyDescent="0.3">
      <c r="A138" s="6">
        <v>335</v>
      </c>
      <c r="B138" t="s">
        <v>504</v>
      </c>
      <c r="C138" s="9" t="s">
        <v>504</v>
      </c>
    </row>
    <row r="139" spans="1:5" x14ac:dyDescent="0.3">
      <c r="A139" s="6">
        <v>336</v>
      </c>
      <c r="B139" t="s">
        <v>505</v>
      </c>
      <c r="C139" s="9" t="s">
        <v>505</v>
      </c>
      <c r="D139" t="s">
        <v>83</v>
      </c>
    </row>
    <row r="140" spans="1:5" x14ac:dyDescent="0.3">
      <c r="A140" s="6">
        <v>337</v>
      </c>
      <c r="B140" t="s">
        <v>506</v>
      </c>
      <c r="C140" s="9" t="s">
        <v>506</v>
      </c>
      <c r="D140" t="s">
        <v>83</v>
      </c>
    </row>
    <row r="141" spans="1:5" x14ac:dyDescent="0.3">
      <c r="A141" s="6">
        <v>338</v>
      </c>
      <c r="B141" t="s">
        <v>507</v>
      </c>
      <c r="C141" s="9" t="s">
        <v>507</v>
      </c>
      <c r="D141" t="s">
        <v>83</v>
      </c>
    </row>
    <row r="142" spans="1:5" x14ac:dyDescent="0.3">
      <c r="A142" s="6">
        <v>339</v>
      </c>
      <c r="B142" t="s">
        <v>508</v>
      </c>
      <c r="C142" s="9" t="s">
        <v>508</v>
      </c>
      <c r="D142" t="s">
        <v>83</v>
      </c>
    </row>
    <row r="143" spans="1:5" x14ac:dyDescent="0.3">
      <c r="A143" s="6">
        <v>340</v>
      </c>
      <c r="B143" t="s">
        <v>509</v>
      </c>
      <c r="C143" s="9" t="s">
        <v>509</v>
      </c>
      <c r="D143" t="s">
        <v>83</v>
      </c>
    </row>
    <row r="144" spans="1:5" x14ac:dyDescent="0.3">
      <c r="A144" s="6">
        <v>341</v>
      </c>
      <c r="B144" t="s">
        <v>510</v>
      </c>
      <c r="C144" s="9" t="s">
        <v>510</v>
      </c>
      <c r="D144" t="s">
        <v>83</v>
      </c>
    </row>
    <row r="145" spans="1:5" x14ac:dyDescent="0.3">
      <c r="A145" s="6">
        <v>342</v>
      </c>
      <c r="B145" t="s">
        <v>131</v>
      </c>
      <c r="C145" s="9" t="s">
        <v>131</v>
      </c>
      <c r="D145" t="s">
        <v>83</v>
      </c>
    </row>
    <row r="146" spans="1:5" x14ac:dyDescent="0.3">
      <c r="A146" s="6">
        <v>343</v>
      </c>
      <c r="B146" t="s">
        <v>511</v>
      </c>
      <c r="C146" s="9" t="s">
        <v>511</v>
      </c>
      <c r="D146" t="s">
        <v>83</v>
      </c>
    </row>
    <row r="147" spans="1:5" x14ac:dyDescent="0.3">
      <c r="A147" s="6">
        <v>344</v>
      </c>
      <c r="B147" t="s">
        <v>512</v>
      </c>
      <c r="C147" s="9" t="s">
        <v>512</v>
      </c>
      <c r="D147" t="s">
        <v>83</v>
      </c>
    </row>
    <row r="148" spans="1:5" x14ac:dyDescent="0.3">
      <c r="A148" s="6">
        <v>345</v>
      </c>
      <c r="B148" t="s">
        <v>513</v>
      </c>
      <c r="C148" s="9" t="s">
        <v>513</v>
      </c>
      <c r="D148" t="s">
        <v>83</v>
      </c>
    </row>
    <row r="149" spans="1:5" x14ac:dyDescent="0.3">
      <c r="A149" s="6">
        <v>346</v>
      </c>
      <c r="B149" t="s">
        <v>514</v>
      </c>
      <c r="C149" s="9" t="s">
        <v>514</v>
      </c>
      <c r="D149" t="s">
        <v>83</v>
      </c>
    </row>
    <row r="150" spans="1:5" x14ac:dyDescent="0.3">
      <c r="A150" s="6">
        <v>347</v>
      </c>
      <c r="B150" t="s">
        <v>515</v>
      </c>
      <c r="C150" s="9" t="s">
        <v>515</v>
      </c>
      <c r="D150" t="s">
        <v>83</v>
      </c>
    </row>
    <row r="151" spans="1:5" x14ac:dyDescent="0.3">
      <c r="A151" s="6">
        <v>348</v>
      </c>
      <c r="B151" t="s">
        <v>516</v>
      </c>
      <c r="C151" s="9" t="s">
        <v>516</v>
      </c>
      <c r="D151" t="s">
        <v>83</v>
      </c>
    </row>
    <row r="152" spans="1:5" x14ac:dyDescent="0.3">
      <c r="A152" s="6">
        <v>349</v>
      </c>
      <c r="B152" t="s">
        <v>517</v>
      </c>
      <c r="C152" s="9" t="s">
        <v>517</v>
      </c>
      <c r="D152" t="s">
        <v>83</v>
      </c>
    </row>
    <row r="153" spans="1:5" x14ac:dyDescent="0.3">
      <c r="A153" s="6">
        <v>350</v>
      </c>
      <c r="B153" t="s">
        <v>518</v>
      </c>
      <c r="C153" s="9" t="s">
        <v>518</v>
      </c>
      <c r="D153" t="s">
        <v>83</v>
      </c>
    </row>
    <row r="154" spans="1:5" x14ac:dyDescent="0.3">
      <c r="A154" s="6">
        <v>351</v>
      </c>
      <c r="B154" t="s">
        <v>519</v>
      </c>
      <c r="C154" s="9" t="s">
        <v>519</v>
      </c>
      <c r="D154" t="s">
        <v>83</v>
      </c>
    </row>
    <row r="155" spans="1:5" x14ac:dyDescent="0.3">
      <c r="A155" s="6">
        <v>352</v>
      </c>
      <c r="B155" t="s">
        <v>520</v>
      </c>
      <c r="C155" s="9" t="s">
        <v>520</v>
      </c>
      <c r="D155" t="s">
        <v>83</v>
      </c>
    </row>
    <row r="156" spans="1:5" x14ac:dyDescent="0.3">
      <c r="A156" s="6">
        <v>353</v>
      </c>
      <c r="B156" t="s">
        <v>521</v>
      </c>
      <c r="C156" s="9" t="s">
        <v>521</v>
      </c>
      <c r="D156" t="s">
        <v>83</v>
      </c>
    </row>
    <row r="157" spans="1:5" x14ac:dyDescent="0.3">
      <c r="A157" s="6">
        <v>354</v>
      </c>
      <c r="B157" t="s">
        <v>522</v>
      </c>
      <c r="C157" s="9" t="s">
        <v>522</v>
      </c>
      <c r="D157" t="s">
        <v>83</v>
      </c>
    </row>
    <row r="158" spans="1:5" x14ac:dyDescent="0.3">
      <c r="A158" s="6"/>
      <c r="B158" t="s">
        <v>523</v>
      </c>
      <c r="C158" s="9" t="s">
        <v>523</v>
      </c>
      <c r="D158" t="s">
        <v>501</v>
      </c>
      <c r="E158" t="s">
        <v>461</v>
      </c>
    </row>
    <row r="159" spans="1:5" x14ac:dyDescent="0.3">
      <c r="A159" s="6">
        <v>358</v>
      </c>
      <c r="B159" t="s">
        <v>524</v>
      </c>
      <c r="C159" s="9" t="s">
        <v>524</v>
      </c>
      <c r="D159" t="s">
        <v>83</v>
      </c>
      <c r="E159" t="s">
        <v>461</v>
      </c>
    </row>
    <row r="160" spans="1:5" x14ac:dyDescent="0.3">
      <c r="A160" s="6">
        <v>359</v>
      </c>
      <c r="B160" t="s">
        <v>525</v>
      </c>
      <c r="C160" s="9" t="s">
        <v>525</v>
      </c>
      <c r="D160" t="s">
        <v>83</v>
      </c>
    </row>
    <row r="161" spans="1:5" x14ac:dyDescent="0.3">
      <c r="A161" s="6">
        <v>360</v>
      </c>
      <c r="B161" t="s">
        <v>526</v>
      </c>
      <c r="C161" s="9" t="s">
        <v>526</v>
      </c>
      <c r="D161" t="s">
        <v>83</v>
      </c>
      <c r="E161" t="s">
        <v>461</v>
      </c>
    </row>
    <row r="162" spans="1:5" x14ac:dyDescent="0.3">
      <c r="A162" s="6">
        <v>361</v>
      </c>
      <c r="B162" t="s">
        <v>527</v>
      </c>
      <c r="C162" s="9" t="s">
        <v>527</v>
      </c>
      <c r="D162" t="s">
        <v>83</v>
      </c>
      <c r="E162" t="s">
        <v>461</v>
      </c>
    </row>
    <row r="163" spans="1:5" x14ac:dyDescent="0.3">
      <c r="A163" s="6">
        <v>362</v>
      </c>
      <c r="B163" t="s">
        <v>528</v>
      </c>
      <c r="C163" s="9" t="s">
        <v>528</v>
      </c>
      <c r="D163" t="s">
        <v>83</v>
      </c>
      <c r="E163" t="s">
        <v>461</v>
      </c>
    </row>
    <row r="164" spans="1:5" x14ac:dyDescent="0.3">
      <c r="A164" s="6">
        <v>363</v>
      </c>
      <c r="B164" t="s">
        <v>529</v>
      </c>
      <c r="C164" s="9" t="s">
        <v>529</v>
      </c>
      <c r="D164" t="s">
        <v>83</v>
      </c>
      <c r="E164" t="s">
        <v>461</v>
      </c>
    </row>
    <row r="165" spans="1:5" x14ac:dyDescent="0.3">
      <c r="A165" s="6">
        <v>364</v>
      </c>
      <c r="B165" t="s">
        <v>530</v>
      </c>
      <c r="C165" s="9" t="s">
        <v>530</v>
      </c>
      <c r="D165" t="s">
        <v>83</v>
      </c>
      <c r="E165" t="s">
        <v>461</v>
      </c>
    </row>
    <row r="166" spans="1:5" x14ac:dyDescent="0.3">
      <c r="A166" s="6">
        <v>365</v>
      </c>
      <c r="B166" t="s">
        <v>531</v>
      </c>
      <c r="C166" s="9" t="s">
        <v>531</v>
      </c>
      <c r="D166" t="s">
        <v>532</v>
      </c>
      <c r="E166" t="s">
        <v>461</v>
      </c>
    </row>
    <row r="167" spans="1:5" x14ac:dyDescent="0.3">
      <c r="A167" s="6">
        <v>366</v>
      </c>
      <c r="B167" t="s">
        <v>533</v>
      </c>
      <c r="C167" s="9" t="s">
        <v>533</v>
      </c>
      <c r="D167" t="s">
        <v>83</v>
      </c>
      <c r="E167" t="s">
        <v>461</v>
      </c>
    </row>
    <row r="168" spans="1:5" x14ac:dyDescent="0.3">
      <c r="A168" s="6">
        <v>367</v>
      </c>
      <c r="B168" t="s">
        <v>534</v>
      </c>
      <c r="C168" s="9" t="s">
        <v>534</v>
      </c>
      <c r="D168" t="s">
        <v>83</v>
      </c>
      <c r="E168" t="s">
        <v>461</v>
      </c>
    </row>
    <row r="169" spans="1:5" x14ac:dyDescent="0.3">
      <c r="A169" s="6">
        <v>368</v>
      </c>
      <c r="B169" t="s">
        <v>535</v>
      </c>
      <c r="C169" s="9" t="s">
        <v>535</v>
      </c>
      <c r="D169" t="s">
        <v>83</v>
      </c>
      <c r="E169" t="s">
        <v>461</v>
      </c>
    </row>
    <row r="170" spans="1:5" x14ac:dyDescent="0.3">
      <c r="A170" s="6">
        <v>369</v>
      </c>
      <c r="B170" t="s">
        <v>492</v>
      </c>
      <c r="C170" s="9" t="s">
        <v>492</v>
      </c>
      <c r="D170" t="s">
        <v>83</v>
      </c>
      <c r="E170" t="s">
        <v>461</v>
      </c>
    </row>
    <row r="171" spans="1:5" x14ac:dyDescent="0.3">
      <c r="A171" s="6">
        <v>370</v>
      </c>
      <c r="B171" t="s">
        <v>536</v>
      </c>
      <c r="C171" s="9" t="s">
        <v>536</v>
      </c>
      <c r="D171" t="s">
        <v>83</v>
      </c>
      <c r="E171" t="s">
        <v>461</v>
      </c>
    </row>
    <row r="172" spans="1:5" x14ac:dyDescent="0.3">
      <c r="A172" s="6">
        <v>371</v>
      </c>
      <c r="B172" t="s">
        <v>537</v>
      </c>
      <c r="C172" s="9" t="s">
        <v>537</v>
      </c>
      <c r="D172" t="s">
        <v>83</v>
      </c>
      <c r="E172" t="s">
        <v>461</v>
      </c>
    </row>
    <row r="173" spans="1:5" x14ac:dyDescent="0.3">
      <c r="A173" s="6">
        <v>372</v>
      </c>
      <c r="B173" t="s">
        <v>565</v>
      </c>
      <c r="C173" s="9" t="s">
        <v>565</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A8CC-3B92-4FAA-BB50-3DF826A1253F}">
  <dimension ref="A1:B88"/>
  <sheetViews>
    <sheetView workbookViewId="0">
      <pane ySplit="1" topLeftCell="A2" activePane="bottomLeft" state="frozen"/>
      <selection activeCell="H109" sqref="H109"/>
      <selection pane="bottomLeft" activeCell="H109" sqref="H109"/>
    </sheetView>
  </sheetViews>
  <sheetFormatPr defaultRowHeight="14.4" x14ac:dyDescent="0.3"/>
  <cols>
    <col min="1" max="1" width="13.6640625" bestFit="1" customWidth="1"/>
    <col min="2" max="2" width="24" bestFit="1" customWidth="1"/>
  </cols>
  <sheetData>
    <row r="1" spans="1:2" x14ac:dyDescent="0.3">
      <c r="A1" s="1" t="s">
        <v>207</v>
      </c>
      <c r="B1" s="1" t="s">
        <v>13</v>
      </c>
    </row>
    <row r="2" spans="1:2" x14ac:dyDescent="0.3">
      <c r="A2" s="5">
        <v>0</v>
      </c>
      <c r="B2" s="9" t="s">
        <v>46</v>
      </c>
    </row>
    <row r="3" spans="1:2" x14ac:dyDescent="0.3">
      <c r="A3" s="5">
        <v>201</v>
      </c>
      <c r="B3" s="9" t="s">
        <v>208</v>
      </c>
    </row>
    <row r="4" spans="1:2" x14ac:dyDescent="0.3">
      <c r="A4" s="5">
        <v>202</v>
      </c>
      <c r="B4" s="9" t="s">
        <v>209</v>
      </c>
    </row>
    <row r="5" spans="1:2" x14ac:dyDescent="0.3">
      <c r="A5" s="5">
        <v>203</v>
      </c>
      <c r="B5" s="9" t="s">
        <v>210</v>
      </c>
    </row>
    <row r="6" spans="1:2" x14ac:dyDescent="0.3">
      <c r="A6" s="5">
        <v>204</v>
      </c>
      <c r="B6" s="9" t="s">
        <v>211</v>
      </c>
    </row>
    <row r="7" spans="1:2" x14ac:dyDescent="0.3">
      <c r="A7" s="5">
        <v>205</v>
      </c>
      <c r="B7" s="9" t="s">
        <v>212</v>
      </c>
    </row>
    <row r="8" spans="1:2" x14ac:dyDescent="0.3">
      <c r="A8" s="5">
        <v>206</v>
      </c>
      <c r="B8" s="9" t="s">
        <v>213</v>
      </c>
    </row>
    <row r="9" spans="1:2" x14ac:dyDescent="0.3">
      <c r="A9" s="5">
        <v>207</v>
      </c>
      <c r="B9" s="9" t="s">
        <v>214</v>
      </c>
    </row>
    <row r="10" spans="1:2" x14ac:dyDescent="0.3">
      <c r="A10" s="5">
        <v>208</v>
      </c>
      <c r="B10" s="9" t="s">
        <v>215</v>
      </c>
    </row>
    <row r="11" spans="1:2" x14ac:dyDescent="0.3">
      <c r="A11" s="5">
        <v>209</v>
      </c>
      <c r="B11" s="9" t="s">
        <v>216</v>
      </c>
    </row>
    <row r="12" spans="1:2" x14ac:dyDescent="0.3">
      <c r="A12" s="5">
        <v>210</v>
      </c>
      <c r="B12" s="9" t="s">
        <v>217</v>
      </c>
    </row>
    <row r="13" spans="1:2" x14ac:dyDescent="0.3">
      <c r="A13" s="5">
        <v>211</v>
      </c>
      <c r="B13" s="9" t="s">
        <v>218</v>
      </c>
    </row>
    <row r="14" spans="1:2" x14ac:dyDescent="0.3">
      <c r="A14" s="5">
        <v>212</v>
      </c>
      <c r="B14" s="9" t="s">
        <v>219</v>
      </c>
    </row>
    <row r="15" spans="1:2" x14ac:dyDescent="0.3">
      <c r="A15" s="5">
        <v>213</v>
      </c>
      <c r="B15" s="9" t="s">
        <v>220</v>
      </c>
    </row>
    <row r="16" spans="1:2" x14ac:dyDescent="0.3">
      <c r="A16" s="5">
        <v>214</v>
      </c>
      <c r="B16" s="9" t="s">
        <v>221</v>
      </c>
    </row>
    <row r="17" spans="1:2" x14ac:dyDescent="0.3">
      <c r="A17" s="5">
        <v>215</v>
      </c>
      <c r="B17" s="9" t="s">
        <v>222</v>
      </c>
    </row>
    <row r="18" spans="1:2" x14ac:dyDescent="0.3">
      <c r="A18" s="5">
        <v>216</v>
      </c>
      <c r="B18" s="9" t="s">
        <v>223</v>
      </c>
    </row>
    <row r="19" spans="1:2" x14ac:dyDescent="0.3">
      <c r="A19" s="5">
        <v>217</v>
      </c>
      <c r="B19" s="9" t="s">
        <v>224</v>
      </c>
    </row>
    <row r="20" spans="1:2" x14ac:dyDescent="0.3">
      <c r="A20" s="5">
        <v>218</v>
      </c>
      <c r="B20" s="9" t="s">
        <v>225</v>
      </c>
    </row>
    <row r="21" spans="1:2" x14ac:dyDescent="0.3">
      <c r="A21" s="5">
        <v>219</v>
      </c>
      <c r="B21" s="9" t="s">
        <v>226</v>
      </c>
    </row>
    <row r="22" spans="1:2" x14ac:dyDescent="0.3">
      <c r="A22" s="5">
        <v>220</v>
      </c>
      <c r="B22" s="9" t="s">
        <v>227</v>
      </c>
    </row>
    <row r="23" spans="1:2" x14ac:dyDescent="0.3">
      <c r="A23" s="5">
        <v>221</v>
      </c>
      <c r="B23" s="9" t="s">
        <v>228</v>
      </c>
    </row>
    <row r="24" spans="1:2" x14ac:dyDescent="0.3">
      <c r="A24" s="5">
        <v>222</v>
      </c>
      <c r="B24" s="9" t="s">
        <v>229</v>
      </c>
    </row>
    <row r="25" spans="1:2" x14ac:dyDescent="0.3">
      <c r="A25" s="5">
        <v>223</v>
      </c>
      <c r="B25" s="9" t="s">
        <v>230</v>
      </c>
    </row>
    <row r="26" spans="1:2" x14ac:dyDescent="0.3">
      <c r="A26" s="5">
        <v>224</v>
      </c>
      <c r="B26" s="9" t="s">
        <v>231</v>
      </c>
    </row>
    <row r="27" spans="1:2" x14ac:dyDescent="0.3">
      <c r="A27" s="5">
        <v>225</v>
      </c>
      <c r="B27" s="9" t="s">
        <v>232</v>
      </c>
    </row>
    <row r="28" spans="1:2" x14ac:dyDescent="0.3">
      <c r="A28" s="5">
        <v>226</v>
      </c>
      <c r="B28" s="9" t="s">
        <v>233</v>
      </c>
    </row>
    <row r="29" spans="1:2" x14ac:dyDescent="0.3">
      <c r="A29" s="5">
        <v>227</v>
      </c>
      <c r="B29" s="9" t="s">
        <v>234</v>
      </c>
    </row>
    <row r="30" spans="1:2" x14ac:dyDescent="0.3">
      <c r="A30" s="5">
        <v>228</v>
      </c>
      <c r="B30" s="9" t="s">
        <v>235</v>
      </c>
    </row>
    <row r="31" spans="1:2" x14ac:dyDescent="0.3">
      <c r="A31" s="5">
        <v>229</v>
      </c>
      <c r="B31" s="9" t="s">
        <v>236</v>
      </c>
    </row>
    <row r="32" spans="1:2" x14ac:dyDescent="0.3">
      <c r="A32" s="5">
        <v>230</v>
      </c>
      <c r="B32" s="9" t="s">
        <v>237</v>
      </c>
    </row>
    <row r="33" spans="1:2" x14ac:dyDescent="0.3">
      <c r="A33" s="5">
        <v>231</v>
      </c>
      <c r="B33" s="9" t="s">
        <v>238</v>
      </c>
    </row>
    <row r="34" spans="1:2" x14ac:dyDescent="0.3">
      <c r="A34" s="5">
        <v>232</v>
      </c>
      <c r="B34" s="9" t="s">
        <v>239</v>
      </c>
    </row>
    <row r="35" spans="1:2" x14ac:dyDescent="0.3">
      <c r="A35" s="5">
        <v>233</v>
      </c>
      <c r="B35" s="9" t="s">
        <v>240</v>
      </c>
    </row>
    <row r="36" spans="1:2" x14ac:dyDescent="0.3">
      <c r="A36" s="5">
        <v>234</v>
      </c>
      <c r="B36" s="9" t="s">
        <v>241</v>
      </c>
    </row>
    <row r="37" spans="1:2" x14ac:dyDescent="0.3">
      <c r="A37" s="5">
        <v>235</v>
      </c>
      <c r="B37" s="9" t="s">
        <v>242</v>
      </c>
    </row>
    <row r="38" spans="1:2" x14ac:dyDescent="0.3">
      <c r="A38" s="5">
        <v>236</v>
      </c>
      <c r="B38" s="9" t="s">
        <v>243</v>
      </c>
    </row>
    <row r="39" spans="1:2" x14ac:dyDescent="0.3">
      <c r="A39" s="5">
        <v>237</v>
      </c>
      <c r="B39" s="9" t="s">
        <v>244</v>
      </c>
    </row>
    <row r="40" spans="1:2" x14ac:dyDescent="0.3">
      <c r="A40" s="5">
        <v>238</v>
      </c>
      <c r="B40" s="9" t="s">
        <v>245</v>
      </c>
    </row>
    <row r="41" spans="1:2" x14ac:dyDescent="0.3">
      <c r="A41" s="5">
        <v>239</v>
      </c>
      <c r="B41" s="9" t="s">
        <v>246</v>
      </c>
    </row>
    <row r="42" spans="1:2" x14ac:dyDescent="0.3">
      <c r="A42" s="5">
        <v>240</v>
      </c>
      <c r="B42" s="9" t="s">
        <v>247</v>
      </c>
    </row>
    <row r="43" spans="1:2" x14ac:dyDescent="0.3">
      <c r="A43" s="5">
        <v>241</v>
      </c>
      <c r="B43" s="9" t="s">
        <v>248</v>
      </c>
    </row>
    <row r="44" spans="1:2" x14ac:dyDescent="0.3">
      <c r="A44" s="5">
        <v>242</v>
      </c>
      <c r="B44" s="9" t="s">
        <v>31</v>
      </c>
    </row>
    <row r="45" spans="1:2" x14ac:dyDescent="0.3">
      <c r="A45" s="5">
        <v>243</v>
      </c>
      <c r="B45" s="9" t="s">
        <v>249</v>
      </c>
    </row>
    <row r="46" spans="1:2" x14ac:dyDescent="0.3">
      <c r="A46" s="5">
        <v>244</v>
      </c>
      <c r="B46" s="9" t="s">
        <v>250</v>
      </c>
    </row>
    <row r="47" spans="1:2" x14ac:dyDescent="0.3">
      <c r="A47" s="5">
        <v>245</v>
      </c>
      <c r="B47" s="9" t="s">
        <v>251</v>
      </c>
    </row>
    <row r="48" spans="1:2" x14ac:dyDescent="0.3">
      <c r="A48" s="5">
        <v>246</v>
      </c>
      <c r="B48" s="9" t="s">
        <v>252</v>
      </c>
    </row>
    <row r="49" spans="1:2" x14ac:dyDescent="0.3">
      <c r="A49" s="5">
        <v>247</v>
      </c>
      <c r="B49" s="9" t="s">
        <v>253</v>
      </c>
    </row>
    <row r="50" spans="1:2" x14ac:dyDescent="0.3">
      <c r="A50" s="5">
        <v>248</v>
      </c>
      <c r="B50" s="9" t="s">
        <v>254</v>
      </c>
    </row>
    <row r="51" spans="1:2" x14ac:dyDescent="0.3">
      <c r="A51" s="5">
        <v>249</v>
      </c>
      <c r="B51" s="9" t="s">
        <v>255</v>
      </c>
    </row>
    <row r="52" spans="1:2" x14ac:dyDescent="0.3">
      <c r="A52" s="5">
        <v>250</v>
      </c>
      <c r="B52" s="9" t="s">
        <v>256</v>
      </c>
    </row>
    <row r="53" spans="1:2" x14ac:dyDescent="0.3">
      <c r="A53" s="5">
        <v>251</v>
      </c>
      <c r="B53" s="9" t="s">
        <v>257</v>
      </c>
    </row>
    <row r="54" spans="1:2" x14ac:dyDescent="0.3">
      <c r="A54" s="5">
        <v>252</v>
      </c>
      <c r="B54" s="9" t="s">
        <v>258</v>
      </c>
    </row>
    <row r="55" spans="1:2" x14ac:dyDescent="0.3">
      <c r="A55" s="5">
        <v>253</v>
      </c>
      <c r="B55" s="9" t="s">
        <v>259</v>
      </c>
    </row>
    <row r="56" spans="1:2" x14ac:dyDescent="0.3">
      <c r="A56" s="5">
        <v>254</v>
      </c>
      <c r="B56" s="9" t="s">
        <v>260</v>
      </c>
    </row>
    <row r="57" spans="1:2" x14ac:dyDescent="0.3">
      <c r="A57" s="5">
        <v>255</v>
      </c>
      <c r="B57" s="9" t="s">
        <v>261</v>
      </c>
    </row>
    <row r="58" spans="1:2" x14ac:dyDescent="0.3">
      <c r="A58" s="5">
        <v>256</v>
      </c>
      <c r="B58" s="9" t="s">
        <v>262</v>
      </c>
    </row>
    <row r="59" spans="1:2" x14ac:dyDescent="0.3">
      <c r="A59" s="5">
        <v>257</v>
      </c>
      <c r="B59" s="9" t="s">
        <v>263</v>
      </c>
    </row>
    <row r="60" spans="1:2" x14ac:dyDescent="0.3">
      <c r="A60" s="5">
        <v>258</v>
      </c>
      <c r="B60" s="9" t="s">
        <v>264</v>
      </c>
    </row>
    <row r="61" spans="1:2" x14ac:dyDescent="0.3">
      <c r="A61" s="5">
        <v>259</v>
      </c>
      <c r="B61" s="9" t="s">
        <v>265</v>
      </c>
    </row>
    <row r="62" spans="1:2" x14ac:dyDescent="0.3">
      <c r="A62" s="5">
        <v>260</v>
      </c>
      <c r="B62" s="9" t="s">
        <v>266</v>
      </c>
    </row>
    <row r="63" spans="1:2" x14ac:dyDescent="0.3">
      <c r="A63" s="5">
        <v>261</v>
      </c>
      <c r="B63" s="9" t="s">
        <v>267</v>
      </c>
    </row>
    <row r="64" spans="1:2" x14ac:dyDescent="0.3">
      <c r="A64" s="5">
        <v>700</v>
      </c>
      <c r="B64" s="9" t="s">
        <v>268</v>
      </c>
    </row>
    <row r="65" spans="1:2" x14ac:dyDescent="0.3">
      <c r="A65" s="5">
        <v>263</v>
      </c>
      <c r="B65" s="9" t="s">
        <v>269</v>
      </c>
    </row>
    <row r="66" spans="1:2" x14ac:dyDescent="0.3">
      <c r="A66" s="5">
        <v>264</v>
      </c>
      <c r="B66" s="9" t="s">
        <v>270</v>
      </c>
    </row>
    <row r="67" spans="1:2" x14ac:dyDescent="0.3">
      <c r="A67" s="5">
        <v>265</v>
      </c>
      <c r="B67" s="9" t="s">
        <v>271</v>
      </c>
    </row>
    <row r="68" spans="1:2" x14ac:dyDescent="0.3">
      <c r="A68" s="5">
        <v>266</v>
      </c>
      <c r="B68" s="9" t="s">
        <v>272</v>
      </c>
    </row>
    <row r="69" spans="1:2" x14ac:dyDescent="0.3">
      <c r="A69" s="5">
        <v>267</v>
      </c>
      <c r="B69" s="9" t="s">
        <v>273</v>
      </c>
    </row>
    <row r="70" spans="1:2" x14ac:dyDescent="0.3">
      <c r="A70" s="5">
        <v>268</v>
      </c>
      <c r="B70" s="9" t="s">
        <v>274</v>
      </c>
    </row>
    <row r="71" spans="1:2" x14ac:dyDescent="0.3">
      <c r="A71" s="5">
        <v>269</v>
      </c>
      <c r="B71" s="9" t="s">
        <v>275</v>
      </c>
    </row>
    <row r="72" spans="1:2" x14ac:dyDescent="0.3">
      <c r="A72" s="5">
        <v>270</v>
      </c>
      <c r="B72" s="9" t="s">
        <v>276</v>
      </c>
    </row>
    <row r="73" spans="1:2" x14ac:dyDescent="0.3">
      <c r="A73" s="5">
        <v>271</v>
      </c>
      <c r="B73" s="9" t="s">
        <v>277</v>
      </c>
    </row>
    <row r="74" spans="1:2" x14ac:dyDescent="0.3">
      <c r="A74" s="5">
        <v>272</v>
      </c>
      <c r="B74" s="9" t="s">
        <v>39</v>
      </c>
    </row>
    <row r="75" spans="1:2" x14ac:dyDescent="0.3">
      <c r="A75" s="5">
        <v>273</v>
      </c>
      <c r="B75" s="9" t="s">
        <v>54</v>
      </c>
    </row>
    <row r="76" spans="1:2" x14ac:dyDescent="0.3">
      <c r="A76" s="5">
        <v>274</v>
      </c>
      <c r="B76" s="9" t="s">
        <v>278</v>
      </c>
    </row>
    <row r="77" spans="1:2" x14ac:dyDescent="0.3">
      <c r="A77" s="5">
        <v>275</v>
      </c>
      <c r="B77" s="9" t="s">
        <v>31</v>
      </c>
    </row>
    <row r="78" spans="1:2" x14ac:dyDescent="0.3">
      <c r="A78" s="5">
        <v>276</v>
      </c>
      <c r="B78" s="9" t="s">
        <v>279</v>
      </c>
    </row>
    <row r="79" spans="1:2" x14ac:dyDescent="0.3">
      <c r="A79" s="5">
        <v>277</v>
      </c>
      <c r="B79" s="9" t="s">
        <v>280</v>
      </c>
    </row>
    <row r="80" spans="1:2" x14ac:dyDescent="0.3">
      <c r="A80" s="5">
        <v>278</v>
      </c>
      <c r="B80" s="9" t="s">
        <v>36</v>
      </c>
    </row>
    <row r="81" spans="1:2" x14ac:dyDescent="0.3">
      <c r="A81" s="5">
        <v>279</v>
      </c>
      <c r="B81" s="9" t="s">
        <v>281</v>
      </c>
    </row>
    <row r="82" spans="1:2" x14ac:dyDescent="0.3">
      <c r="A82" s="5">
        <v>280</v>
      </c>
      <c r="B82" s="9" t="s">
        <v>282</v>
      </c>
    </row>
    <row r="83" spans="1:2" x14ac:dyDescent="0.3">
      <c r="A83" s="5">
        <v>281</v>
      </c>
      <c r="B83" s="9" t="s">
        <v>283</v>
      </c>
    </row>
    <row r="84" spans="1:2" x14ac:dyDescent="0.3">
      <c r="A84" s="5">
        <v>282</v>
      </c>
      <c r="B84" s="9" t="s">
        <v>41</v>
      </c>
    </row>
    <row r="85" spans="1:2" x14ac:dyDescent="0.3">
      <c r="A85" s="5">
        <v>283</v>
      </c>
      <c r="B85" s="9" t="s">
        <v>43</v>
      </c>
    </row>
    <row r="86" spans="1:2" x14ac:dyDescent="0.3">
      <c r="A86" s="5">
        <v>284</v>
      </c>
      <c r="B86" s="9" t="s">
        <v>284</v>
      </c>
    </row>
    <row r="87" spans="1:2" x14ac:dyDescent="0.3">
      <c r="A87" s="5">
        <v>658</v>
      </c>
      <c r="B87" s="9" t="s">
        <v>285</v>
      </c>
    </row>
    <row r="88" spans="1:2" x14ac:dyDescent="0.3">
      <c r="A88" s="5">
        <v>285</v>
      </c>
      <c r="B88" s="9" t="s">
        <v>45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DD2D-3727-44DD-9A46-B0CF3080A666}">
  <dimension ref="A1:B48"/>
  <sheetViews>
    <sheetView topLeftCell="A2" workbookViewId="0">
      <selection activeCell="H109" sqref="H109"/>
    </sheetView>
  </sheetViews>
  <sheetFormatPr defaultRowHeight="14.4" x14ac:dyDescent="0.3"/>
  <cols>
    <col min="1" max="1" width="14.6640625" bestFit="1" customWidth="1"/>
    <col min="2" max="2" width="21.33203125" bestFit="1" customWidth="1"/>
    <col min="3" max="3" width="12.6640625" bestFit="1" customWidth="1"/>
  </cols>
  <sheetData>
    <row r="1" spans="1:2" x14ac:dyDescent="0.3">
      <c r="A1" s="1" t="s">
        <v>286</v>
      </c>
      <c r="B1" s="1" t="s">
        <v>287</v>
      </c>
    </row>
    <row r="2" spans="1:2" x14ac:dyDescent="0.3">
      <c r="A2">
        <v>1318</v>
      </c>
      <c r="B2" s="9" t="s">
        <v>208</v>
      </c>
    </row>
    <row r="3" spans="1:2" x14ac:dyDescent="0.3">
      <c r="A3">
        <v>1328</v>
      </c>
      <c r="B3" s="9" t="s">
        <v>209</v>
      </c>
    </row>
    <row r="4" spans="1:2" x14ac:dyDescent="0.3">
      <c r="A4">
        <v>1337</v>
      </c>
      <c r="B4" s="9" t="s">
        <v>288</v>
      </c>
    </row>
    <row r="5" spans="1:2" x14ac:dyDescent="0.3">
      <c r="A5">
        <v>1345</v>
      </c>
      <c r="B5" s="9" t="s">
        <v>289</v>
      </c>
    </row>
    <row r="6" spans="1:2" x14ac:dyDescent="0.3">
      <c r="A6">
        <v>1346</v>
      </c>
      <c r="B6" s="9" t="s">
        <v>217</v>
      </c>
    </row>
    <row r="7" spans="1:2" x14ac:dyDescent="0.3">
      <c r="A7">
        <v>1347</v>
      </c>
      <c r="B7" s="9" t="s">
        <v>218</v>
      </c>
    </row>
    <row r="8" spans="1:2" x14ac:dyDescent="0.3">
      <c r="A8">
        <v>1348</v>
      </c>
      <c r="B8" s="9" t="s">
        <v>290</v>
      </c>
    </row>
    <row r="9" spans="1:2" x14ac:dyDescent="0.3">
      <c r="A9">
        <v>1349</v>
      </c>
      <c r="B9" s="9" t="s">
        <v>291</v>
      </c>
    </row>
    <row r="10" spans="1:2" x14ac:dyDescent="0.3">
      <c r="A10">
        <v>1350</v>
      </c>
      <c r="B10" s="9" t="s">
        <v>292</v>
      </c>
    </row>
    <row r="11" spans="1:2" x14ac:dyDescent="0.3">
      <c r="A11">
        <v>1351</v>
      </c>
      <c r="B11" s="9" t="s">
        <v>293</v>
      </c>
    </row>
    <row r="12" spans="1:2" x14ac:dyDescent="0.3">
      <c r="A12">
        <v>1352</v>
      </c>
      <c r="B12" s="9" t="s">
        <v>294</v>
      </c>
    </row>
    <row r="13" spans="1:2" x14ac:dyDescent="0.3">
      <c r="A13">
        <v>1353</v>
      </c>
      <c r="B13" s="9" t="s">
        <v>295</v>
      </c>
    </row>
    <row r="14" spans="1:2" x14ac:dyDescent="0.3">
      <c r="A14">
        <v>1354</v>
      </c>
      <c r="B14" s="9" t="s">
        <v>296</v>
      </c>
    </row>
    <row r="15" spans="1:2" x14ac:dyDescent="0.3">
      <c r="A15">
        <v>1355</v>
      </c>
      <c r="B15" s="9" t="s">
        <v>297</v>
      </c>
    </row>
    <row r="16" spans="1:2" x14ac:dyDescent="0.3">
      <c r="A16">
        <v>1356</v>
      </c>
      <c r="B16" s="9" t="s">
        <v>298</v>
      </c>
    </row>
    <row r="17" spans="1:2" x14ac:dyDescent="0.3">
      <c r="A17">
        <v>1357</v>
      </c>
      <c r="B17" s="9" t="s">
        <v>299</v>
      </c>
    </row>
    <row r="18" spans="1:2" x14ac:dyDescent="0.3">
      <c r="A18">
        <v>1358</v>
      </c>
      <c r="B18" s="9" t="s">
        <v>300</v>
      </c>
    </row>
    <row r="19" spans="1:2" x14ac:dyDescent="0.3">
      <c r="A19">
        <v>1359</v>
      </c>
      <c r="B19" s="9" t="s">
        <v>301</v>
      </c>
    </row>
    <row r="20" spans="1:2" x14ac:dyDescent="0.3">
      <c r="A20">
        <v>1360</v>
      </c>
      <c r="B20" s="9" t="s">
        <v>302</v>
      </c>
    </row>
    <row r="21" spans="1:2" x14ac:dyDescent="0.3">
      <c r="A21">
        <v>1361</v>
      </c>
      <c r="B21" s="9" t="s">
        <v>303</v>
      </c>
    </row>
    <row r="22" spans="1:2" x14ac:dyDescent="0.3">
      <c r="A22">
        <v>1362</v>
      </c>
      <c r="B22" s="9" t="s">
        <v>304</v>
      </c>
    </row>
    <row r="23" spans="1:2" x14ac:dyDescent="0.3">
      <c r="A23">
        <v>1363</v>
      </c>
      <c r="B23" s="9" t="s">
        <v>305</v>
      </c>
    </row>
    <row r="24" spans="1:2" x14ac:dyDescent="0.3">
      <c r="A24">
        <v>1364</v>
      </c>
      <c r="B24" s="9" t="s">
        <v>306</v>
      </c>
    </row>
    <row r="25" spans="1:2" x14ac:dyDescent="0.3">
      <c r="A25">
        <v>1365</v>
      </c>
      <c r="B25" s="9" t="s">
        <v>307</v>
      </c>
    </row>
    <row r="26" spans="1:2" x14ac:dyDescent="0.3">
      <c r="A26">
        <v>1366</v>
      </c>
      <c r="B26" s="9" t="s">
        <v>308</v>
      </c>
    </row>
    <row r="27" spans="1:2" x14ac:dyDescent="0.3">
      <c r="A27">
        <v>1367</v>
      </c>
      <c r="B27" s="9" t="s">
        <v>309</v>
      </c>
    </row>
    <row r="28" spans="1:2" x14ac:dyDescent="0.3">
      <c r="A28">
        <v>1368</v>
      </c>
      <c r="B28" s="9" t="s">
        <v>310</v>
      </c>
    </row>
    <row r="29" spans="1:2" x14ac:dyDescent="0.3">
      <c r="A29">
        <v>1369</v>
      </c>
      <c r="B29" s="9" t="s">
        <v>311</v>
      </c>
    </row>
    <row r="30" spans="1:2" x14ac:dyDescent="0.3">
      <c r="A30">
        <v>1370</v>
      </c>
      <c r="B30" s="9" t="s">
        <v>312</v>
      </c>
    </row>
    <row r="31" spans="1:2" x14ac:dyDescent="0.3">
      <c r="A31">
        <v>1371</v>
      </c>
      <c r="B31" s="9" t="s">
        <v>313</v>
      </c>
    </row>
    <row r="32" spans="1:2" x14ac:dyDescent="0.3">
      <c r="A32">
        <v>1372</v>
      </c>
      <c r="B32" s="9" t="s">
        <v>300</v>
      </c>
    </row>
    <row r="33" spans="1:2" x14ac:dyDescent="0.3">
      <c r="A33">
        <v>1373</v>
      </c>
      <c r="B33" s="9" t="s">
        <v>314</v>
      </c>
    </row>
    <row r="34" spans="1:2" x14ac:dyDescent="0.3">
      <c r="A34">
        <v>834</v>
      </c>
      <c r="B34" s="9" t="s">
        <v>32</v>
      </c>
    </row>
    <row r="35" spans="1:2" x14ac:dyDescent="0.3">
      <c r="A35">
        <v>373</v>
      </c>
      <c r="B35" s="9" t="s">
        <v>315</v>
      </c>
    </row>
    <row r="36" spans="1:2" x14ac:dyDescent="0.3">
      <c r="A36">
        <v>1338</v>
      </c>
      <c r="B36" s="9" t="s">
        <v>316</v>
      </c>
    </row>
    <row r="37" spans="1:2" x14ac:dyDescent="0.3">
      <c r="A37">
        <v>1377</v>
      </c>
      <c r="B37" s="9" t="s">
        <v>46</v>
      </c>
    </row>
    <row r="38" spans="1:2" x14ac:dyDescent="0.3">
      <c r="A38">
        <v>1378</v>
      </c>
      <c r="B38" s="9" t="s">
        <v>317</v>
      </c>
    </row>
    <row r="39" spans="1:2" x14ac:dyDescent="0.3">
      <c r="A39">
        <v>658</v>
      </c>
      <c r="B39" s="9" t="s">
        <v>285</v>
      </c>
    </row>
    <row r="40" spans="1:2" x14ac:dyDescent="0.3">
      <c r="A40">
        <v>991</v>
      </c>
      <c r="B40" s="9" t="s">
        <v>318</v>
      </c>
    </row>
    <row r="41" spans="1:2" x14ac:dyDescent="0.3">
      <c r="A41">
        <v>823</v>
      </c>
      <c r="B41" s="9" t="s">
        <v>319</v>
      </c>
    </row>
    <row r="42" spans="1:2" x14ac:dyDescent="0.3">
      <c r="A42">
        <v>1748</v>
      </c>
      <c r="B42" s="9" t="s">
        <v>320</v>
      </c>
    </row>
    <row r="43" spans="1:2" x14ac:dyDescent="0.3">
      <c r="A43">
        <v>1747</v>
      </c>
      <c r="B43" s="9" t="s">
        <v>40</v>
      </c>
    </row>
    <row r="44" spans="1:2" x14ac:dyDescent="0.3">
      <c r="A44">
        <v>1741</v>
      </c>
      <c r="B44" s="9" t="s">
        <v>55</v>
      </c>
    </row>
    <row r="45" spans="1:2" x14ac:dyDescent="0.3">
      <c r="A45">
        <v>1749</v>
      </c>
      <c r="B45" s="9" t="s">
        <v>42</v>
      </c>
    </row>
    <row r="46" spans="1:2" x14ac:dyDescent="0.3">
      <c r="A46">
        <v>343</v>
      </c>
      <c r="B46" s="9" t="s">
        <v>44</v>
      </c>
    </row>
    <row r="47" spans="1:2" x14ac:dyDescent="0.3">
      <c r="A47">
        <v>1750</v>
      </c>
      <c r="B47" s="9" t="s">
        <v>37</v>
      </c>
    </row>
    <row r="48" spans="1:2" x14ac:dyDescent="0.3">
      <c r="A48">
        <v>700</v>
      </c>
      <c r="B48" s="9" t="s">
        <v>268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E36D-4E9D-4125-8CE1-C23D54775111}">
  <dimension ref="A1:B5"/>
  <sheetViews>
    <sheetView workbookViewId="0">
      <pane ySplit="1" topLeftCell="A2" activePane="bottomLeft" state="frozen"/>
      <selection activeCell="H109" sqref="H109"/>
      <selection pane="bottomLeft" activeCell="H109" sqref="H109"/>
    </sheetView>
  </sheetViews>
  <sheetFormatPr defaultRowHeight="14.4" x14ac:dyDescent="0.3"/>
  <cols>
    <col min="1" max="1" width="11.44140625" bestFit="1" customWidth="1"/>
    <col min="2" max="2" width="11" bestFit="1" customWidth="1"/>
    <col min="4" max="4" width="51.6640625" customWidth="1"/>
  </cols>
  <sheetData>
    <row r="1" spans="1:2" x14ac:dyDescent="0.3">
      <c r="A1" s="1" t="s">
        <v>0</v>
      </c>
      <c r="B1" s="1" t="s">
        <v>17</v>
      </c>
    </row>
    <row r="2" spans="1:2" x14ac:dyDescent="0.3">
      <c r="A2">
        <v>1</v>
      </c>
      <c r="B2" s="5" t="s">
        <v>33</v>
      </c>
    </row>
    <row r="3" spans="1:2" x14ac:dyDescent="0.3">
      <c r="A3">
        <v>2</v>
      </c>
      <c r="B3" s="5" t="s">
        <v>321</v>
      </c>
    </row>
    <row r="4" spans="1:2" x14ac:dyDescent="0.3">
      <c r="A4">
        <v>3</v>
      </c>
      <c r="B4" s="5" t="s">
        <v>322</v>
      </c>
    </row>
    <row r="5" spans="1:2" x14ac:dyDescent="0.3">
      <c r="A5">
        <v>4</v>
      </c>
      <c r="B5" s="5" t="s">
        <v>323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49"/>
  <sheetViews>
    <sheetView zoomScaleNormal="100" workbookViewId="0">
      <pane ySplit="1" topLeftCell="A2" activePane="bottomLeft" state="frozen"/>
      <selection pane="bottomLeft" activeCell="C19" sqref="C19"/>
    </sheetView>
  </sheetViews>
  <sheetFormatPr defaultRowHeight="14.4" outlineLevelCol="1" x14ac:dyDescent="0.3"/>
  <cols>
    <col min="1" max="1" width="23.33203125" customWidth="1"/>
    <col min="2" max="2" width="11.33203125" customWidth="1"/>
    <col min="3" max="3" width="23.33203125" customWidth="1"/>
    <col min="4" max="4" width="26.88671875" customWidth="1"/>
    <col min="5" max="5" width="10.6640625" customWidth="1" outlineLevel="1"/>
    <col min="6" max="6" width="19.109375" customWidth="1" outlineLevel="1"/>
    <col min="7" max="7" width="12.33203125" customWidth="1" outlineLevel="1"/>
    <col min="8" max="8" width="11.33203125" customWidth="1" outlineLevel="1"/>
    <col min="9" max="9" width="14.33203125" customWidth="1" outlineLevel="1"/>
    <col min="10" max="10" width="11.109375" customWidth="1" outlineLevel="1"/>
    <col min="11" max="11" width="23.44140625" customWidth="1" outlineLevel="1"/>
    <col min="12" max="12" width="13.33203125" customWidth="1" outlineLevel="1"/>
    <col min="13" max="16" width="12.6640625" customWidth="1" outlineLevel="1"/>
    <col min="17" max="17" width="56.109375" customWidth="1"/>
  </cols>
  <sheetData>
    <row r="1" spans="1:17" ht="42.6" customHeight="1" x14ac:dyDescent="0.3">
      <c r="A1" s="25" t="s">
        <v>324</v>
      </c>
      <c r="B1" s="25" t="s">
        <v>325</v>
      </c>
      <c r="C1" s="26" t="s">
        <v>326</v>
      </c>
      <c r="D1" s="26" t="s">
        <v>327</v>
      </c>
      <c r="E1" s="26" t="s">
        <v>328</v>
      </c>
      <c r="F1" s="7" t="s">
        <v>329</v>
      </c>
      <c r="G1" s="7" t="s">
        <v>330</v>
      </c>
      <c r="H1" s="7" t="s">
        <v>331</v>
      </c>
      <c r="I1" s="7" t="s">
        <v>332</v>
      </c>
      <c r="J1" s="7" t="s">
        <v>333</v>
      </c>
      <c r="K1" s="4" t="s">
        <v>334</v>
      </c>
      <c r="L1" s="4" t="s">
        <v>335</v>
      </c>
      <c r="M1" s="4" t="s">
        <v>336</v>
      </c>
      <c r="N1" s="4" t="s">
        <v>337</v>
      </c>
      <c r="O1" s="4" t="s">
        <v>338</v>
      </c>
      <c r="P1" s="4" t="s">
        <v>339</v>
      </c>
      <c r="Q1" s="25" t="s">
        <v>340</v>
      </c>
    </row>
    <row r="2" spans="1:17" x14ac:dyDescent="0.3">
      <c r="A2" s="8" t="s">
        <v>341</v>
      </c>
      <c r="B2" s="6">
        <v>1</v>
      </c>
      <c r="C2" s="38" t="s">
        <v>0</v>
      </c>
      <c r="D2" s="16" t="s">
        <v>342</v>
      </c>
      <c r="E2" s="17" t="s">
        <v>343</v>
      </c>
      <c r="F2" s="18" t="s">
        <v>344</v>
      </c>
      <c r="G2" s="18" t="s">
        <v>29</v>
      </c>
      <c r="H2" s="19" t="s">
        <v>35</v>
      </c>
      <c r="I2" s="19" t="s">
        <v>35</v>
      </c>
      <c r="J2" s="19" t="s">
        <v>35</v>
      </c>
      <c r="K2" s="20" t="s">
        <v>83</v>
      </c>
      <c r="L2" s="20" t="s">
        <v>35</v>
      </c>
      <c r="M2" s="20" t="s">
        <v>345</v>
      </c>
      <c r="N2" s="20" t="s">
        <v>346</v>
      </c>
      <c r="O2" s="20" t="s">
        <v>346</v>
      </c>
      <c r="P2" s="20" t="s">
        <v>35</v>
      </c>
      <c r="Q2" s="21" t="s">
        <v>347</v>
      </c>
    </row>
    <row r="3" spans="1:17" x14ac:dyDescent="0.3">
      <c r="A3" s="8" t="s">
        <v>341</v>
      </c>
      <c r="B3" s="6">
        <v>2</v>
      </c>
      <c r="C3" s="38" t="s">
        <v>1</v>
      </c>
      <c r="D3" s="16" t="s">
        <v>348</v>
      </c>
      <c r="E3" s="17" t="s">
        <v>343</v>
      </c>
      <c r="F3" s="18" t="s">
        <v>344</v>
      </c>
      <c r="G3" s="18" t="s">
        <v>35</v>
      </c>
      <c r="H3" s="19" t="s">
        <v>29</v>
      </c>
      <c r="I3" s="19" t="s">
        <v>35</v>
      </c>
      <c r="J3" s="19" t="s">
        <v>35</v>
      </c>
      <c r="K3" s="20" t="s">
        <v>83</v>
      </c>
      <c r="L3" s="20" t="s">
        <v>35</v>
      </c>
      <c r="M3" s="20" t="s">
        <v>345</v>
      </c>
      <c r="N3" s="20" t="s">
        <v>346</v>
      </c>
      <c r="O3" s="20" t="s">
        <v>346</v>
      </c>
      <c r="P3" s="20" t="s">
        <v>35</v>
      </c>
      <c r="Q3" s="21" t="s">
        <v>349</v>
      </c>
    </row>
    <row r="4" spans="1:17" x14ac:dyDescent="0.3">
      <c r="A4" s="8" t="s">
        <v>341</v>
      </c>
      <c r="B4" s="6">
        <v>3</v>
      </c>
      <c r="C4" s="38" t="s">
        <v>2</v>
      </c>
      <c r="D4" s="16" t="s">
        <v>350</v>
      </c>
      <c r="E4" s="17" t="s">
        <v>351</v>
      </c>
      <c r="F4" s="18" t="s">
        <v>352</v>
      </c>
      <c r="G4" s="18" t="s">
        <v>35</v>
      </c>
      <c r="H4" s="19" t="s">
        <v>35</v>
      </c>
      <c r="I4" s="19" t="s">
        <v>35</v>
      </c>
      <c r="J4" s="19" t="s">
        <v>35</v>
      </c>
      <c r="K4" s="20" t="s">
        <v>353</v>
      </c>
      <c r="L4" s="20" t="s">
        <v>29</v>
      </c>
      <c r="M4" s="20" t="s">
        <v>354</v>
      </c>
      <c r="N4" s="20" t="s">
        <v>346</v>
      </c>
      <c r="O4" s="20" t="s">
        <v>346</v>
      </c>
      <c r="P4" s="20" t="s">
        <v>35</v>
      </c>
      <c r="Q4" s="21" t="s">
        <v>355</v>
      </c>
    </row>
    <row r="5" spans="1:17" ht="43.2" x14ac:dyDescent="0.3">
      <c r="A5" s="8" t="s">
        <v>341</v>
      </c>
      <c r="B5" s="6">
        <v>4</v>
      </c>
      <c r="C5" s="38" t="s">
        <v>3</v>
      </c>
      <c r="D5" s="16" t="s">
        <v>356</v>
      </c>
      <c r="E5" s="17" t="s">
        <v>343</v>
      </c>
      <c r="F5" s="18" t="s">
        <v>357</v>
      </c>
      <c r="G5" s="18" t="s">
        <v>35</v>
      </c>
      <c r="H5" s="19" t="s">
        <v>35</v>
      </c>
      <c r="I5" s="19" t="s">
        <v>29</v>
      </c>
      <c r="J5" s="19" t="s">
        <v>35</v>
      </c>
      <c r="K5" s="20" t="s">
        <v>83</v>
      </c>
      <c r="L5" s="20" t="s">
        <v>35</v>
      </c>
      <c r="M5" s="20" t="s">
        <v>345</v>
      </c>
      <c r="N5" s="20" t="s">
        <v>346</v>
      </c>
      <c r="O5" s="20" t="s">
        <v>346</v>
      </c>
      <c r="P5" s="20" t="s">
        <v>35</v>
      </c>
      <c r="Q5" s="21" t="s">
        <v>358</v>
      </c>
    </row>
    <row r="6" spans="1:17" ht="43.2" x14ac:dyDescent="0.3">
      <c r="A6" s="8" t="s">
        <v>341</v>
      </c>
      <c r="B6" s="6">
        <v>5</v>
      </c>
      <c r="C6" s="38" t="s">
        <v>4</v>
      </c>
      <c r="D6" s="16" t="s">
        <v>359</v>
      </c>
      <c r="E6" s="17" t="s">
        <v>343</v>
      </c>
      <c r="F6" s="18" t="s">
        <v>360</v>
      </c>
      <c r="G6" s="18" t="s">
        <v>35</v>
      </c>
      <c r="H6" s="19" t="s">
        <v>35</v>
      </c>
      <c r="I6" s="19" t="s">
        <v>35</v>
      </c>
      <c r="J6" s="19" t="s">
        <v>35</v>
      </c>
      <c r="K6" s="20" t="s">
        <v>83</v>
      </c>
      <c r="L6" s="20" t="s">
        <v>35</v>
      </c>
      <c r="M6" s="20" t="s">
        <v>345</v>
      </c>
      <c r="N6" s="20" t="s">
        <v>346</v>
      </c>
      <c r="O6" s="20" t="s">
        <v>346</v>
      </c>
      <c r="P6" s="20" t="s">
        <v>35</v>
      </c>
      <c r="Q6" s="21" t="s">
        <v>361</v>
      </c>
    </row>
    <row r="7" spans="1:17" x14ac:dyDescent="0.3">
      <c r="A7" s="8" t="s">
        <v>341</v>
      </c>
      <c r="B7" s="6">
        <v>6</v>
      </c>
      <c r="C7" s="38" t="s">
        <v>5</v>
      </c>
      <c r="D7" s="16" t="s">
        <v>362</v>
      </c>
      <c r="E7" s="17" t="s">
        <v>351</v>
      </c>
      <c r="F7" s="18" t="s">
        <v>363</v>
      </c>
      <c r="G7" s="18" t="s">
        <v>35</v>
      </c>
      <c r="H7" s="19" t="s">
        <v>35</v>
      </c>
      <c r="I7" s="19" t="s">
        <v>35</v>
      </c>
      <c r="J7" s="19" t="s">
        <v>35</v>
      </c>
      <c r="K7" s="20" t="s">
        <v>83</v>
      </c>
      <c r="L7" s="20" t="s">
        <v>35</v>
      </c>
      <c r="M7" s="20" t="s">
        <v>354</v>
      </c>
      <c r="N7" s="20" t="s">
        <v>364</v>
      </c>
      <c r="O7" s="20" t="s">
        <v>365</v>
      </c>
      <c r="P7" s="20" t="s">
        <v>29</v>
      </c>
      <c r="Q7" s="21" t="s">
        <v>366</v>
      </c>
    </row>
    <row r="8" spans="1:17" ht="28.8" x14ac:dyDescent="0.3">
      <c r="A8" s="8" t="s">
        <v>341</v>
      </c>
      <c r="B8" s="6">
        <v>7</v>
      </c>
      <c r="C8" s="38" t="s">
        <v>6</v>
      </c>
      <c r="D8" s="16" t="s">
        <v>367</v>
      </c>
      <c r="E8" s="17" t="s">
        <v>351</v>
      </c>
      <c r="F8" s="18" t="s">
        <v>360</v>
      </c>
      <c r="G8" s="18" t="s">
        <v>29</v>
      </c>
      <c r="H8" s="19" t="s">
        <v>35</v>
      </c>
      <c r="I8" s="19" t="s">
        <v>35</v>
      </c>
      <c r="J8" s="19" t="s">
        <v>35</v>
      </c>
      <c r="K8" s="20" t="s">
        <v>83</v>
      </c>
      <c r="L8" s="20" t="s">
        <v>35</v>
      </c>
      <c r="M8" s="20" t="s">
        <v>354</v>
      </c>
      <c r="N8" s="20" t="s">
        <v>346</v>
      </c>
      <c r="O8" s="20" t="s">
        <v>346</v>
      </c>
      <c r="P8" s="20" t="s">
        <v>35</v>
      </c>
      <c r="Q8" s="21" t="s">
        <v>368</v>
      </c>
    </row>
    <row r="9" spans="1:17" ht="28.8" x14ac:dyDescent="0.3">
      <c r="A9" s="8" t="s">
        <v>341</v>
      </c>
      <c r="B9" s="6">
        <v>8</v>
      </c>
      <c r="C9" s="38" t="s">
        <v>7</v>
      </c>
      <c r="D9" s="16" t="s">
        <v>369</v>
      </c>
      <c r="E9" s="17" t="s">
        <v>343</v>
      </c>
      <c r="F9" s="18" t="s">
        <v>360</v>
      </c>
      <c r="G9" s="18" t="s">
        <v>35</v>
      </c>
      <c r="H9" s="19" t="s">
        <v>35</v>
      </c>
      <c r="I9" s="19" t="s">
        <v>35</v>
      </c>
      <c r="J9" s="19" t="s">
        <v>35</v>
      </c>
      <c r="K9" s="20" t="s">
        <v>83</v>
      </c>
      <c r="L9" s="20" t="s">
        <v>35</v>
      </c>
      <c r="M9" s="20" t="s">
        <v>345</v>
      </c>
      <c r="N9" s="20" t="s">
        <v>346</v>
      </c>
      <c r="O9" s="20" t="s">
        <v>346</v>
      </c>
      <c r="P9" s="20" t="s">
        <v>35</v>
      </c>
      <c r="Q9" s="21" t="s">
        <v>370</v>
      </c>
    </row>
    <row r="10" spans="1:17" ht="28.8" x14ac:dyDescent="0.3">
      <c r="A10" s="8" t="s">
        <v>341</v>
      </c>
      <c r="B10" s="6">
        <v>9</v>
      </c>
      <c r="C10" s="38" t="s">
        <v>8</v>
      </c>
      <c r="D10" s="16" t="s">
        <v>371</v>
      </c>
      <c r="E10" s="17" t="s">
        <v>351</v>
      </c>
      <c r="F10" s="18" t="s">
        <v>652</v>
      </c>
      <c r="G10" s="18" t="s">
        <v>29</v>
      </c>
      <c r="H10" s="19" t="s">
        <v>35</v>
      </c>
      <c r="I10" s="19" t="s">
        <v>29</v>
      </c>
      <c r="J10" s="19" t="s">
        <v>35</v>
      </c>
      <c r="K10" s="20" t="s">
        <v>83</v>
      </c>
      <c r="L10" s="20" t="s">
        <v>35</v>
      </c>
      <c r="M10" s="20" t="s">
        <v>372</v>
      </c>
      <c r="N10" s="20" t="s">
        <v>346</v>
      </c>
      <c r="O10" s="20" t="s">
        <v>346</v>
      </c>
      <c r="P10" s="20" t="s">
        <v>35</v>
      </c>
      <c r="Q10" s="21" t="s">
        <v>373</v>
      </c>
    </row>
    <row r="11" spans="1:17" ht="28.8" x14ac:dyDescent="0.3">
      <c r="A11" s="8" t="s">
        <v>341</v>
      </c>
      <c r="B11" s="6">
        <v>10</v>
      </c>
      <c r="C11" s="38" t="s">
        <v>9</v>
      </c>
      <c r="D11" s="16" t="s">
        <v>374</v>
      </c>
      <c r="E11" s="17" t="s">
        <v>351</v>
      </c>
      <c r="F11" s="22" t="s">
        <v>375</v>
      </c>
      <c r="G11" s="18" t="s">
        <v>35</v>
      </c>
      <c r="H11" s="19" t="s">
        <v>35</v>
      </c>
      <c r="I11" s="19" t="s">
        <v>35</v>
      </c>
      <c r="J11" s="19" t="s">
        <v>35</v>
      </c>
      <c r="K11" s="20" t="s">
        <v>83</v>
      </c>
      <c r="L11" s="20" t="s">
        <v>29</v>
      </c>
      <c r="M11" s="20" t="s">
        <v>354</v>
      </c>
      <c r="N11" s="20" t="s">
        <v>346</v>
      </c>
      <c r="O11" s="20" t="s">
        <v>346</v>
      </c>
      <c r="P11" s="20" t="s">
        <v>35</v>
      </c>
      <c r="Q11" s="21" t="s">
        <v>376</v>
      </c>
    </row>
    <row r="12" spans="1:17" ht="28.8" x14ac:dyDescent="0.3">
      <c r="A12" s="8" t="s">
        <v>341</v>
      </c>
      <c r="B12" s="6">
        <v>11</v>
      </c>
      <c r="C12" s="38" t="s">
        <v>10</v>
      </c>
      <c r="D12" s="16" t="s">
        <v>377</v>
      </c>
      <c r="E12" s="17" t="s">
        <v>351</v>
      </c>
      <c r="F12" s="18" t="s">
        <v>552</v>
      </c>
      <c r="G12" s="18" t="s">
        <v>29</v>
      </c>
      <c r="H12" s="19" t="s">
        <v>35</v>
      </c>
      <c r="I12" s="19" t="s">
        <v>29</v>
      </c>
      <c r="J12" s="19" t="s">
        <v>35</v>
      </c>
      <c r="K12" s="20" t="s">
        <v>83</v>
      </c>
      <c r="L12" s="20" t="s">
        <v>35</v>
      </c>
      <c r="M12" s="20" t="s">
        <v>354</v>
      </c>
      <c r="N12" s="20" t="s">
        <v>346</v>
      </c>
      <c r="O12" s="20" t="s">
        <v>365</v>
      </c>
      <c r="P12" s="20" t="s">
        <v>35</v>
      </c>
      <c r="Q12" s="21" t="s">
        <v>378</v>
      </c>
    </row>
    <row r="13" spans="1:17" x14ac:dyDescent="0.3">
      <c r="A13" s="8" t="s">
        <v>341</v>
      </c>
      <c r="B13" s="6">
        <v>12</v>
      </c>
      <c r="C13" s="38" t="s">
        <v>11</v>
      </c>
      <c r="D13" s="16" t="s">
        <v>379</v>
      </c>
      <c r="E13" s="17" t="s">
        <v>351</v>
      </c>
      <c r="F13" s="18" t="s">
        <v>380</v>
      </c>
      <c r="G13" s="18" t="s">
        <v>29</v>
      </c>
      <c r="H13" s="19" t="s">
        <v>35</v>
      </c>
      <c r="I13" s="19" t="s">
        <v>35</v>
      </c>
      <c r="J13" s="19" t="s">
        <v>35</v>
      </c>
      <c r="K13" s="20" t="s">
        <v>83</v>
      </c>
      <c r="L13" s="20" t="s">
        <v>35</v>
      </c>
      <c r="M13" s="20" t="s">
        <v>354</v>
      </c>
      <c r="N13" s="20" t="s">
        <v>364</v>
      </c>
      <c r="O13" s="20" t="s">
        <v>365</v>
      </c>
      <c r="P13" s="20" t="s">
        <v>29</v>
      </c>
      <c r="Q13" s="21" t="s">
        <v>381</v>
      </c>
    </row>
    <row r="14" spans="1:17" ht="28.8" x14ac:dyDescent="0.3">
      <c r="A14" s="8" t="s">
        <v>341</v>
      </c>
      <c r="B14" s="6">
        <v>13</v>
      </c>
      <c r="C14" s="38" t="s">
        <v>12</v>
      </c>
      <c r="D14" s="16" t="s">
        <v>382</v>
      </c>
      <c r="E14" s="17" t="s">
        <v>351</v>
      </c>
      <c r="F14" s="18" t="s">
        <v>383</v>
      </c>
      <c r="G14" s="18" t="s">
        <v>35</v>
      </c>
      <c r="H14" s="19" t="s">
        <v>35</v>
      </c>
      <c r="I14" s="19" t="s">
        <v>35</v>
      </c>
      <c r="J14" s="19" t="s">
        <v>35</v>
      </c>
      <c r="K14" s="20" t="s">
        <v>83</v>
      </c>
      <c r="L14" s="20" t="s">
        <v>35</v>
      </c>
      <c r="M14" s="20" t="s">
        <v>354</v>
      </c>
      <c r="N14" s="20" t="s">
        <v>364</v>
      </c>
      <c r="O14" s="20" t="s">
        <v>365</v>
      </c>
      <c r="P14" s="20" t="s">
        <v>29</v>
      </c>
      <c r="Q14" s="21" t="s">
        <v>384</v>
      </c>
    </row>
    <row r="15" spans="1:17" x14ac:dyDescent="0.3">
      <c r="A15" s="8" t="s">
        <v>341</v>
      </c>
      <c r="B15" s="6">
        <v>14</v>
      </c>
      <c r="C15" s="38" t="s">
        <v>13</v>
      </c>
      <c r="D15" s="16" t="s">
        <v>385</v>
      </c>
      <c r="E15" s="17" t="s">
        <v>351</v>
      </c>
      <c r="F15" s="18" t="s">
        <v>386</v>
      </c>
      <c r="G15" s="18" t="s">
        <v>35</v>
      </c>
      <c r="H15" s="19" t="s">
        <v>35</v>
      </c>
      <c r="I15" s="19" t="s">
        <v>35</v>
      </c>
      <c r="J15" s="19" t="s">
        <v>35</v>
      </c>
      <c r="K15" s="20" t="s">
        <v>387</v>
      </c>
      <c r="L15" s="20" t="s">
        <v>29</v>
      </c>
      <c r="M15" s="20" t="s">
        <v>354</v>
      </c>
      <c r="N15" s="20" t="s">
        <v>346</v>
      </c>
      <c r="O15" s="20" t="s">
        <v>346</v>
      </c>
      <c r="P15" s="20" t="s">
        <v>35</v>
      </c>
      <c r="Q15" s="21" t="s">
        <v>388</v>
      </c>
    </row>
    <row r="16" spans="1:17" x14ac:dyDescent="0.3">
      <c r="A16" s="8" t="s">
        <v>341</v>
      </c>
      <c r="B16" s="6">
        <v>15</v>
      </c>
      <c r="C16" s="38" t="s">
        <v>14</v>
      </c>
      <c r="D16" s="16" t="s">
        <v>389</v>
      </c>
      <c r="E16" s="17" t="s">
        <v>351</v>
      </c>
      <c r="F16" s="18" t="s">
        <v>386</v>
      </c>
      <c r="G16" s="18" t="s">
        <v>35</v>
      </c>
      <c r="H16" s="19" t="s">
        <v>35</v>
      </c>
      <c r="I16" s="19" t="s">
        <v>35</v>
      </c>
      <c r="J16" s="19" t="s">
        <v>35</v>
      </c>
      <c r="K16" s="20" t="s">
        <v>390</v>
      </c>
      <c r="L16" s="20" t="s">
        <v>29</v>
      </c>
      <c r="M16" s="20" t="s">
        <v>354</v>
      </c>
      <c r="N16" s="20" t="s">
        <v>346</v>
      </c>
      <c r="O16" s="20" t="s">
        <v>346</v>
      </c>
      <c r="P16" s="20" t="s">
        <v>35</v>
      </c>
      <c r="Q16" s="21" t="s">
        <v>391</v>
      </c>
    </row>
    <row r="17" spans="1:17" x14ac:dyDescent="0.3">
      <c r="A17" s="8" t="s">
        <v>341</v>
      </c>
      <c r="B17" s="6">
        <v>16</v>
      </c>
      <c r="C17" s="38" t="s">
        <v>15</v>
      </c>
      <c r="D17" s="16" t="s">
        <v>392</v>
      </c>
      <c r="E17" s="17" t="s">
        <v>351</v>
      </c>
      <c r="F17" s="18" t="s">
        <v>386</v>
      </c>
      <c r="G17" s="18" t="s">
        <v>35</v>
      </c>
      <c r="H17" s="19" t="s">
        <v>35</v>
      </c>
      <c r="I17" s="19" t="s">
        <v>35</v>
      </c>
      <c r="J17" s="19" t="s">
        <v>35</v>
      </c>
      <c r="K17" s="20" t="s">
        <v>83</v>
      </c>
      <c r="L17" s="20" t="s">
        <v>35</v>
      </c>
      <c r="M17" s="20" t="s">
        <v>354</v>
      </c>
      <c r="N17" s="20" t="s">
        <v>346</v>
      </c>
      <c r="O17" s="20" t="s">
        <v>346</v>
      </c>
      <c r="P17" s="20" t="s">
        <v>35</v>
      </c>
      <c r="Q17" s="21" t="s">
        <v>393</v>
      </c>
    </row>
    <row r="18" spans="1:17" x14ac:dyDescent="0.3">
      <c r="A18" s="8" t="s">
        <v>341</v>
      </c>
      <c r="B18" s="6">
        <v>17</v>
      </c>
      <c r="C18" s="38" t="s">
        <v>16</v>
      </c>
      <c r="D18" s="16" t="s">
        <v>394</v>
      </c>
      <c r="E18" s="17" t="s">
        <v>351</v>
      </c>
      <c r="F18" s="18" t="s">
        <v>549</v>
      </c>
      <c r="G18" s="18" t="s">
        <v>29</v>
      </c>
      <c r="H18" s="19" t="s">
        <v>35</v>
      </c>
      <c r="I18" s="19" t="s">
        <v>35</v>
      </c>
      <c r="J18" s="19" t="s">
        <v>35</v>
      </c>
      <c r="K18" s="20" t="s">
        <v>83</v>
      </c>
      <c r="L18" s="20" t="s">
        <v>35</v>
      </c>
      <c r="M18" s="20" t="s">
        <v>354</v>
      </c>
      <c r="N18" s="20" t="s">
        <v>346</v>
      </c>
      <c r="O18" s="20" t="s">
        <v>346</v>
      </c>
      <c r="P18" s="20" t="s">
        <v>35</v>
      </c>
      <c r="Q18" s="21" t="s">
        <v>395</v>
      </c>
    </row>
    <row r="19" spans="1:17" x14ac:dyDescent="0.3">
      <c r="A19" s="8" t="s">
        <v>341</v>
      </c>
      <c r="B19" s="6">
        <v>18</v>
      </c>
      <c r="C19" s="38" t="s">
        <v>17</v>
      </c>
      <c r="D19" s="16" t="s">
        <v>396</v>
      </c>
      <c r="E19" s="17" t="s">
        <v>351</v>
      </c>
      <c r="F19" s="18" t="s">
        <v>397</v>
      </c>
      <c r="G19" s="18" t="s">
        <v>35</v>
      </c>
      <c r="H19" s="19" t="s">
        <v>35</v>
      </c>
      <c r="I19" s="19" t="s">
        <v>35</v>
      </c>
      <c r="J19" s="19" t="s">
        <v>35</v>
      </c>
      <c r="K19" s="20" t="s">
        <v>398</v>
      </c>
      <c r="L19" s="20" t="s">
        <v>29</v>
      </c>
      <c r="M19" s="20" t="s">
        <v>354</v>
      </c>
      <c r="N19" s="20" t="s">
        <v>346</v>
      </c>
      <c r="O19" s="20" t="s">
        <v>346</v>
      </c>
      <c r="P19" s="20" t="s">
        <v>35</v>
      </c>
      <c r="Q19" s="21" t="s">
        <v>399</v>
      </c>
    </row>
    <row r="20" spans="1:17" x14ac:dyDescent="0.3">
      <c r="A20" s="8" t="s">
        <v>341</v>
      </c>
      <c r="B20" s="6">
        <v>19</v>
      </c>
      <c r="C20" s="38" t="s">
        <v>18</v>
      </c>
      <c r="D20" s="16" t="s">
        <v>400</v>
      </c>
      <c r="E20" s="17" t="s">
        <v>343</v>
      </c>
      <c r="F20" s="18" t="s">
        <v>360</v>
      </c>
      <c r="G20" s="18" t="s">
        <v>35</v>
      </c>
      <c r="H20" s="19" t="s">
        <v>35</v>
      </c>
      <c r="I20" s="19" t="s">
        <v>35</v>
      </c>
      <c r="J20" s="19" t="s">
        <v>35</v>
      </c>
      <c r="K20" s="20" t="s">
        <v>83</v>
      </c>
      <c r="L20" s="20" t="s">
        <v>35</v>
      </c>
      <c r="M20" s="20" t="s">
        <v>345</v>
      </c>
      <c r="N20" s="20" t="s">
        <v>346</v>
      </c>
      <c r="O20" s="20" t="s">
        <v>346</v>
      </c>
      <c r="P20" s="20" t="s">
        <v>35</v>
      </c>
      <c r="Q20" s="21" t="s">
        <v>401</v>
      </c>
    </row>
    <row r="21" spans="1:17" x14ac:dyDescent="0.3">
      <c r="A21" s="8" t="s">
        <v>341</v>
      </c>
      <c r="B21" s="6">
        <v>20</v>
      </c>
      <c r="C21" s="38" t="s">
        <v>19</v>
      </c>
      <c r="D21" s="16" t="s">
        <v>402</v>
      </c>
      <c r="E21" s="17" t="s">
        <v>343</v>
      </c>
      <c r="F21" s="18" t="s">
        <v>360</v>
      </c>
      <c r="G21" s="18" t="s">
        <v>35</v>
      </c>
      <c r="H21" s="19" t="s">
        <v>35</v>
      </c>
      <c r="I21" s="19" t="s">
        <v>35</v>
      </c>
      <c r="J21" s="19" t="s">
        <v>35</v>
      </c>
      <c r="K21" s="20" t="s">
        <v>83</v>
      </c>
      <c r="L21" s="20" t="s">
        <v>35</v>
      </c>
      <c r="M21" s="20" t="s">
        <v>345</v>
      </c>
      <c r="N21" s="20" t="s">
        <v>346</v>
      </c>
      <c r="O21" s="20" t="s">
        <v>346</v>
      </c>
      <c r="P21" s="20" t="s">
        <v>35</v>
      </c>
      <c r="Q21" s="21" t="s">
        <v>403</v>
      </c>
    </row>
    <row r="22" spans="1:17" x14ac:dyDescent="0.3">
      <c r="A22" s="8" t="s">
        <v>341</v>
      </c>
      <c r="B22" s="6">
        <v>21</v>
      </c>
      <c r="C22" s="38" t="s">
        <v>20</v>
      </c>
      <c r="D22" s="16" t="s">
        <v>404</v>
      </c>
      <c r="E22" s="17" t="s">
        <v>343</v>
      </c>
      <c r="F22" s="18" t="s">
        <v>360</v>
      </c>
      <c r="G22" s="18" t="s">
        <v>35</v>
      </c>
      <c r="H22" s="19" t="s">
        <v>35</v>
      </c>
      <c r="I22" s="19" t="s">
        <v>29</v>
      </c>
      <c r="J22" s="19" t="s">
        <v>29</v>
      </c>
      <c r="K22" s="20" t="s">
        <v>83</v>
      </c>
      <c r="L22" s="20" t="s">
        <v>35</v>
      </c>
      <c r="M22" s="20" t="s">
        <v>345</v>
      </c>
      <c r="N22" s="20" t="s">
        <v>346</v>
      </c>
      <c r="O22" s="20" t="s">
        <v>346</v>
      </c>
      <c r="P22" s="20" t="s">
        <v>35</v>
      </c>
      <c r="Q22" s="21" t="s">
        <v>405</v>
      </c>
    </row>
    <row r="23" spans="1:17" x14ac:dyDescent="0.3">
      <c r="A23" s="8" t="s">
        <v>341</v>
      </c>
      <c r="B23" s="6">
        <v>22</v>
      </c>
      <c r="C23" s="38" t="s">
        <v>21</v>
      </c>
      <c r="D23" s="16" t="s">
        <v>406</v>
      </c>
      <c r="E23" s="17" t="s">
        <v>343</v>
      </c>
      <c r="F23" s="18" t="s">
        <v>407</v>
      </c>
      <c r="G23" s="18" t="s">
        <v>35</v>
      </c>
      <c r="H23" s="19" t="s">
        <v>35</v>
      </c>
      <c r="I23" s="19" t="s">
        <v>35</v>
      </c>
      <c r="J23" s="19" t="s">
        <v>35</v>
      </c>
      <c r="K23" s="20" t="s">
        <v>83</v>
      </c>
      <c r="L23" s="20" t="s">
        <v>35</v>
      </c>
      <c r="M23" s="20" t="s">
        <v>345</v>
      </c>
      <c r="N23" s="20" t="s">
        <v>346</v>
      </c>
      <c r="O23" s="20" t="s">
        <v>346</v>
      </c>
      <c r="P23" s="20" t="s">
        <v>35</v>
      </c>
      <c r="Q23" s="21" t="s">
        <v>408</v>
      </c>
    </row>
    <row r="24" spans="1:17" x14ac:dyDescent="0.3">
      <c r="A24" s="8" t="s">
        <v>341</v>
      </c>
      <c r="B24" s="6">
        <v>23</v>
      </c>
      <c r="C24" s="38" t="s">
        <v>22</v>
      </c>
      <c r="D24" s="16" t="s">
        <v>540</v>
      </c>
      <c r="E24" s="17" t="s">
        <v>409</v>
      </c>
      <c r="F24" s="18" t="s">
        <v>413</v>
      </c>
      <c r="G24" s="18" t="s">
        <v>35</v>
      </c>
      <c r="H24" s="19" t="s">
        <v>35</v>
      </c>
      <c r="I24" s="19" t="s">
        <v>35</v>
      </c>
      <c r="J24" s="19" t="s">
        <v>35</v>
      </c>
      <c r="K24" s="20" t="s">
        <v>83</v>
      </c>
      <c r="L24" s="20" t="s">
        <v>35</v>
      </c>
      <c r="M24" s="20" t="s">
        <v>345</v>
      </c>
      <c r="N24" s="20" t="s">
        <v>410</v>
      </c>
      <c r="O24" s="20" t="s">
        <v>411</v>
      </c>
      <c r="P24" s="20" t="s">
        <v>35</v>
      </c>
      <c r="Q24" s="21" t="s">
        <v>412</v>
      </c>
    </row>
    <row r="25" spans="1:17" ht="72" x14ac:dyDescent="0.3">
      <c r="A25" s="8" t="s">
        <v>341</v>
      </c>
      <c r="B25" s="6">
        <v>24</v>
      </c>
      <c r="C25" s="38" t="s">
        <v>470</v>
      </c>
      <c r="D25" s="16" t="s">
        <v>539</v>
      </c>
      <c r="E25" s="17" t="s">
        <v>409</v>
      </c>
      <c r="F25" s="18" t="s">
        <v>476</v>
      </c>
      <c r="G25" s="18" t="s">
        <v>35</v>
      </c>
      <c r="H25" s="19" t="s">
        <v>35</v>
      </c>
      <c r="I25" s="19" t="s">
        <v>35</v>
      </c>
      <c r="J25" s="19" t="s">
        <v>35</v>
      </c>
      <c r="K25" s="20" t="s">
        <v>83</v>
      </c>
      <c r="L25" s="20" t="s">
        <v>35</v>
      </c>
      <c r="M25" s="20" t="s">
        <v>345</v>
      </c>
      <c r="N25" s="20" t="s">
        <v>410</v>
      </c>
      <c r="O25" s="20" t="s">
        <v>411</v>
      </c>
      <c r="P25" s="20" t="s">
        <v>35</v>
      </c>
      <c r="Q25" s="21" t="s">
        <v>477</v>
      </c>
    </row>
    <row r="26" spans="1:17" x14ac:dyDescent="0.3">
      <c r="A26" s="8" t="s">
        <v>341</v>
      </c>
      <c r="B26" s="6">
        <v>25</v>
      </c>
      <c r="C26" s="38" t="s">
        <v>23</v>
      </c>
      <c r="D26" s="16" t="s">
        <v>538</v>
      </c>
      <c r="E26" s="17" t="s">
        <v>409</v>
      </c>
      <c r="F26" s="18" t="s">
        <v>444</v>
      </c>
      <c r="G26" s="18" t="s">
        <v>35</v>
      </c>
      <c r="H26" s="19" t="s">
        <v>35</v>
      </c>
      <c r="I26" s="19" t="s">
        <v>29</v>
      </c>
      <c r="J26" s="19" t="s">
        <v>35</v>
      </c>
      <c r="K26" s="20" t="s">
        <v>83</v>
      </c>
      <c r="L26" s="20" t="s">
        <v>35</v>
      </c>
      <c r="M26" s="20" t="s">
        <v>345</v>
      </c>
      <c r="N26" s="20" t="s">
        <v>410</v>
      </c>
      <c r="O26" s="20" t="s">
        <v>411</v>
      </c>
      <c r="P26" s="20" t="s">
        <v>35</v>
      </c>
      <c r="Q26" s="21" t="s">
        <v>543</v>
      </c>
    </row>
    <row r="27" spans="1:17" ht="28.8" x14ac:dyDescent="0.3">
      <c r="A27" s="8" t="s">
        <v>341</v>
      </c>
      <c r="B27" s="6">
        <v>26</v>
      </c>
      <c r="C27" s="38" t="s">
        <v>542</v>
      </c>
      <c r="D27" s="16" t="s">
        <v>541</v>
      </c>
      <c r="E27" s="17" t="s">
        <v>409</v>
      </c>
      <c r="F27" s="18" t="s">
        <v>444</v>
      </c>
      <c r="G27" s="18" t="s">
        <v>35</v>
      </c>
      <c r="H27" s="19" t="s">
        <v>35</v>
      </c>
      <c r="I27" s="19" t="s">
        <v>29</v>
      </c>
      <c r="J27" s="19" t="s">
        <v>35</v>
      </c>
      <c r="K27" s="20" t="s">
        <v>83</v>
      </c>
      <c r="L27" s="20" t="s">
        <v>35</v>
      </c>
      <c r="M27" s="20" t="s">
        <v>345</v>
      </c>
      <c r="N27" s="20" t="s">
        <v>410</v>
      </c>
      <c r="O27" s="20" t="s">
        <v>411</v>
      </c>
      <c r="P27" s="20" t="s">
        <v>35</v>
      </c>
      <c r="Q27" s="21" t="s">
        <v>544</v>
      </c>
    </row>
    <row r="28" spans="1:17" ht="43.2" x14ac:dyDescent="0.3">
      <c r="A28" s="8" t="s">
        <v>341</v>
      </c>
      <c r="B28" s="6">
        <v>27</v>
      </c>
      <c r="C28" s="38" t="s">
        <v>24</v>
      </c>
      <c r="D28" s="16" t="s">
        <v>414</v>
      </c>
      <c r="E28" s="17" t="s">
        <v>351</v>
      </c>
      <c r="F28" s="18" t="s">
        <v>415</v>
      </c>
      <c r="G28" s="18" t="s">
        <v>35</v>
      </c>
      <c r="H28" s="19" t="s">
        <v>29</v>
      </c>
      <c r="I28" s="19" t="s">
        <v>35</v>
      </c>
      <c r="J28" s="19" t="s">
        <v>35</v>
      </c>
      <c r="K28" s="23" t="s">
        <v>416</v>
      </c>
      <c r="L28" s="20" t="s">
        <v>29</v>
      </c>
      <c r="M28" s="20" t="s">
        <v>354</v>
      </c>
      <c r="N28" s="20" t="s">
        <v>346</v>
      </c>
      <c r="O28" s="20" t="s">
        <v>365</v>
      </c>
      <c r="P28" s="20" t="s">
        <v>29</v>
      </c>
      <c r="Q28" s="21" t="s">
        <v>417</v>
      </c>
    </row>
    <row r="29" spans="1:17" ht="43.2" x14ac:dyDescent="0.3">
      <c r="A29" s="8" t="s">
        <v>341</v>
      </c>
      <c r="B29" s="6">
        <v>28</v>
      </c>
      <c r="C29" s="38" t="s">
        <v>25</v>
      </c>
      <c r="D29" s="16" t="s">
        <v>418</v>
      </c>
      <c r="E29" s="17" t="s">
        <v>351</v>
      </c>
      <c r="F29" s="18" t="s">
        <v>419</v>
      </c>
      <c r="G29" s="18" t="s">
        <v>35</v>
      </c>
      <c r="H29" s="19" t="s">
        <v>35</v>
      </c>
      <c r="I29" s="19" t="s">
        <v>35</v>
      </c>
      <c r="J29" s="19" t="s">
        <v>35</v>
      </c>
      <c r="K29" s="20" t="s">
        <v>83</v>
      </c>
      <c r="L29" s="20" t="s">
        <v>35</v>
      </c>
      <c r="M29" s="20" t="s">
        <v>354</v>
      </c>
      <c r="N29" s="20" t="s">
        <v>364</v>
      </c>
      <c r="O29" s="20" t="s">
        <v>365</v>
      </c>
      <c r="P29" s="20" t="s">
        <v>29</v>
      </c>
      <c r="Q29" s="21" t="s">
        <v>420</v>
      </c>
    </row>
    <row r="30" spans="1:17" ht="28.8" x14ac:dyDescent="0.3">
      <c r="A30" s="8" t="s">
        <v>341</v>
      </c>
      <c r="B30" s="6">
        <v>29</v>
      </c>
      <c r="C30" s="38" t="s">
        <v>26</v>
      </c>
      <c r="D30" s="16" t="s">
        <v>421</v>
      </c>
      <c r="E30" s="17" t="s">
        <v>351</v>
      </c>
      <c r="F30" s="18" t="s">
        <v>415</v>
      </c>
      <c r="G30" s="18" t="s">
        <v>29</v>
      </c>
      <c r="H30" s="19" t="s">
        <v>29</v>
      </c>
      <c r="I30" s="19" t="s">
        <v>35</v>
      </c>
      <c r="J30" s="19" t="s">
        <v>35</v>
      </c>
      <c r="K30" s="20" t="s">
        <v>83</v>
      </c>
      <c r="L30" s="20" t="s">
        <v>35</v>
      </c>
      <c r="M30" s="20" t="s">
        <v>354</v>
      </c>
      <c r="N30" s="20" t="s">
        <v>364</v>
      </c>
      <c r="O30" s="20" t="s">
        <v>365</v>
      </c>
      <c r="P30" s="20" t="s">
        <v>29</v>
      </c>
      <c r="Q30" s="21" t="s">
        <v>422</v>
      </c>
    </row>
    <row r="31" spans="1:17" x14ac:dyDescent="0.3">
      <c r="A31" s="8" t="s">
        <v>341</v>
      </c>
      <c r="B31" s="6">
        <v>30</v>
      </c>
      <c r="C31" s="38" t="s">
        <v>27</v>
      </c>
      <c r="D31" s="16" t="s">
        <v>423</v>
      </c>
      <c r="E31" s="17" t="s">
        <v>351</v>
      </c>
      <c r="F31" s="18" t="s">
        <v>415</v>
      </c>
      <c r="G31" s="18" t="s">
        <v>35</v>
      </c>
      <c r="H31" s="19" t="s">
        <v>29</v>
      </c>
      <c r="I31" s="19" t="s">
        <v>35</v>
      </c>
      <c r="J31" s="19" t="s">
        <v>35</v>
      </c>
      <c r="K31" s="20" t="s">
        <v>83</v>
      </c>
      <c r="L31" s="20" t="s">
        <v>35</v>
      </c>
      <c r="M31" s="20" t="s">
        <v>354</v>
      </c>
      <c r="N31" s="20" t="s">
        <v>364</v>
      </c>
      <c r="O31" s="20" t="s">
        <v>365</v>
      </c>
      <c r="P31" s="20" t="s">
        <v>29</v>
      </c>
      <c r="Q31" s="21" t="s">
        <v>424</v>
      </c>
    </row>
    <row r="32" spans="1:17" ht="28.8" x14ac:dyDescent="0.3">
      <c r="A32" s="8" t="s">
        <v>425</v>
      </c>
      <c r="B32" s="6">
        <v>6</v>
      </c>
      <c r="C32" s="31" t="s">
        <v>10</v>
      </c>
      <c r="D32" s="56" t="s">
        <v>377</v>
      </c>
      <c r="E32" s="17" t="s">
        <v>351</v>
      </c>
      <c r="F32" s="18" t="s">
        <v>552</v>
      </c>
      <c r="G32" s="18" t="s">
        <v>29</v>
      </c>
      <c r="H32" s="19" t="s">
        <v>35</v>
      </c>
      <c r="I32" s="19" t="s">
        <v>29</v>
      </c>
      <c r="J32" s="19" t="s">
        <v>35</v>
      </c>
      <c r="K32" s="20" t="s">
        <v>83</v>
      </c>
      <c r="L32" s="20" t="s">
        <v>35</v>
      </c>
      <c r="M32" s="20" t="s">
        <v>354</v>
      </c>
      <c r="N32" s="20" t="s">
        <v>346</v>
      </c>
      <c r="O32" s="20" t="s">
        <v>365</v>
      </c>
      <c r="P32" s="20" t="s">
        <v>35</v>
      </c>
      <c r="Q32" s="21" t="s">
        <v>378</v>
      </c>
    </row>
    <row r="33" spans="1:17" x14ac:dyDescent="0.3">
      <c r="A33" s="8" t="s">
        <v>425</v>
      </c>
      <c r="B33" s="6">
        <v>7</v>
      </c>
      <c r="C33" s="31" t="s">
        <v>58</v>
      </c>
      <c r="D33" s="56" t="s">
        <v>426</v>
      </c>
      <c r="E33" s="17" t="s">
        <v>409</v>
      </c>
      <c r="F33" s="18" t="s">
        <v>427</v>
      </c>
      <c r="G33" s="18" t="s">
        <v>35</v>
      </c>
      <c r="H33" s="19" t="s">
        <v>35</v>
      </c>
      <c r="I33" s="19" t="s">
        <v>35</v>
      </c>
      <c r="J33" s="19" t="s">
        <v>35</v>
      </c>
      <c r="K33" s="20" t="s">
        <v>83</v>
      </c>
      <c r="L33" s="20" t="s">
        <v>35</v>
      </c>
      <c r="M33" s="20" t="s">
        <v>345</v>
      </c>
      <c r="N33" s="20" t="s">
        <v>346</v>
      </c>
      <c r="O33" s="20" t="s">
        <v>346</v>
      </c>
      <c r="P33" s="20" t="s">
        <v>35</v>
      </c>
      <c r="Q33" s="21" t="s">
        <v>428</v>
      </c>
    </row>
    <row r="34" spans="1:17" x14ac:dyDescent="0.3">
      <c r="A34" s="8" t="s">
        <v>425</v>
      </c>
      <c r="B34" s="6">
        <v>8</v>
      </c>
      <c r="C34" s="31" t="s">
        <v>59</v>
      </c>
      <c r="D34" s="56" t="s">
        <v>429</v>
      </c>
      <c r="E34" s="17" t="s">
        <v>409</v>
      </c>
      <c r="F34" s="18" t="s">
        <v>413</v>
      </c>
      <c r="G34" s="18" t="s">
        <v>35</v>
      </c>
      <c r="H34" s="19" t="s">
        <v>35</v>
      </c>
      <c r="I34" s="19" t="s">
        <v>29</v>
      </c>
      <c r="J34" s="19" t="s">
        <v>29</v>
      </c>
      <c r="K34" s="20" t="s">
        <v>83</v>
      </c>
      <c r="L34" s="20" t="s">
        <v>35</v>
      </c>
      <c r="M34" s="20" t="s">
        <v>345</v>
      </c>
      <c r="N34" s="20" t="s">
        <v>410</v>
      </c>
      <c r="O34" s="20" t="s">
        <v>411</v>
      </c>
      <c r="P34" s="20" t="s">
        <v>35</v>
      </c>
      <c r="Q34" s="21" t="s">
        <v>430</v>
      </c>
    </row>
    <row r="35" spans="1:17" x14ac:dyDescent="0.3">
      <c r="A35" s="8" t="s">
        <v>425</v>
      </c>
      <c r="B35" s="6">
        <v>9</v>
      </c>
      <c r="C35" s="31" t="s">
        <v>60</v>
      </c>
      <c r="D35" s="56" t="s">
        <v>431</v>
      </c>
      <c r="E35" s="17" t="s">
        <v>409</v>
      </c>
      <c r="F35" s="18" t="s">
        <v>481</v>
      </c>
      <c r="G35" s="18" t="s">
        <v>35</v>
      </c>
      <c r="H35" s="19" t="s">
        <v>35</v>
      </c>
      <c r="I35" s="19" t="s">
        <v>29</v>
      </c>
      <c r="J35" s="19" t="s">
        <v>29</v>
      </c>
      <c r="K35" s="20" t="s">
        <v>83</v>
      </c>
      <c r="L35" s="20" t="s">
        <v>35</v>
      </c>
      <c r="M35" s="20" t="s">
        <v>345</v>
      </c>
      <c r="N35" s="20" t="s">
        <v>410</v>
      </c>
      <c r="O35" s="20" t="s">
        <v>411</v>
      </c>
      <c r="P35" s="20" t="s">
        <v>35</v>
      </c>
      <c r="Q35" s="21" t="s">
        <v>432</v>
      </c>
    </row>
    <row r="36" spans="1:17" x14ac:dyDescent="0.3">
      <c r="A36" s="8" t="s">
        <v>425</v>
      </c>
      <c r="B36" s="6">
        <v>10</v>
      </c>
      <c r="C36" s="31" t="s">
        <v>61</v>
      </c>
      <c r="D36" s="56" t="s">
        <v>433</v>
      </c>
      <c r="E36" s="17" t="s">
        <v>409</v>
      </c>
      <c r="F36" s="18" t="s">
        <v>434</v>
      </c>
      <c r="G36" s="18" t="s">
        <v>35</v>
      </c>
      <c r="H36" s="19" t="s">
        <v>35</v>
      </c>
      <c r="I36" s="19" t="s">
        <v>35</v>
      </c>
      <c r="J36" s="19" t="s">
        <v>35</v>
      </c>
      <c r="K36" s="20" t="s">
        <v>83</v>
      </c>
      <c r="L36" s="20" t="s">
        <v>35</v>
      </c>
      <c r="M36" s="20" t="s">
        <v>345</v>
      </c>
      <c r="N36" s="20" t="s">
        <v>410</v>
      </c>
      <c r="O36" s="20" t="s">
        <v>411</v>
      </c>
      <c r="P36" s="20" t="s">
        <v>35</v>
      </c>
      <c r="Q36" s="21" t="s">
        <v>435</v>
      </c>
    </row>
    <row r="37" spans="1:17" x14ac:dyDescent="0.3">
      <c r="A37" s="8" t="s">
        <v>425</v>
      </c>
      <c r="B37" s="6">
        <v>11</v>
      </c>
      <c r="C37" s="31" t="s">
        <v>62</v>
      </c>
      <c r="D37" s="56" t="s">
        <v>436</v>
      </c>
      <c r="E37" s="17" t="s">
        <v>409</v>
      </c>
      <c r="F37" s="18" t="s">
        <v>548</v>
      </c>
      <c r="G37" s="18" t="s">
        <v>35</v>
      </c>
      <c r="H37" s="19" t="s">
        <v>35</v>
      </c>
      <c r="I37" s="19" t="s">
        <v>29</v>
      </c>
      <c r="J37" s="19" t="s">
        <v>35</v>
      </c>
      <c r="K37" s="20" t="s">
        <v>83</v>
      </c>
      <c r="L37" s="20" t="s">
        <v>35</v>
      </c>
      <c r="M37" s="20" t="s">
        <v>345</v>
      </c>
      <c r="N37" s="20" t="s">
        <v>410</v>
      </c>
      <c r="O37" s="20" t="s">
        <v>411</v>
      </c>
      <c r="P37" s="20" t="s">
        <v>35</v>
      </c>
      <c r="Q37" s="21" t="s">
        <v>437</v>
      </c>
    </row>
    <row r="38" spans="1:17" ht="28.8" x14ac:dyDescent="0.3">
      <c r="A38" s="8" t="s">
        <v>425</v>
      </c>
      <c r="B38" s="6">
        <v>12</v>
      </c>
      <c r="C38" s="31" t="s">
        <v>63</v>
      </c>
      <c r="D38" s="56" t="s">
        <v>438</v>
      </c>
      <c r="E38" s="17" t="s">
        <v>351</v>
      </c>
      <c r="F38" s="18" t="s">
        <v>439</v>
      </c>
      <c r="G38" s="18" t="s">
        <v>35</v>
      </c>
      <c r="H38" s="19" t="s">
        <v>29</v>
      </c>
      <c r="I38" s="19" t="s">
        <v>35</v>
      </c>
      <c r="J38" s="19" t="s">
        <v>35</v>
      </c>
      <c r="K38" s="20" t="s">
        <v>83</v>
      </c>
      <c r="L38" s="20" t="s">
        <v>35</v>
      </c>
      <c r="M38" s="20" t="s">
        <v>372</v>
      </c>
      <c r="N38" s="20" t="s">
        <v>410</v>
      </c>
      <c r="O38" s="20" t="s">
        <v>411</v>
      </c>
      <c r="P38" s="20" t="s">
        <v>29</v>
      </c>
      <c r="Q38" s="21" t="s">
        <v>440</v>
      </c>
    </row>
    <row r="39" spans="1:17" ht="28.8" x14ac:dyDescent="0.3">
      <c r="A39" s="8" t="s">
        <v>425</v>
      </c>
      <c r="B39" s="6">
        <v>13</v>
      </c>
      <c r="C39" s="31" t="s">
        <v>471</v>
      </c>
      <c r="D39" s="56" t="s">
        <v>479</v>
      </c>
      <c r="E39" s="17" t="s">
        <v>409</v>
      </c>
      <c r="F39" s="18" t="s">
        <v>480</v>
      </c>
      <c r="G39" s="18" t="s">
        <v>35</v>
      </c>
      <c r="H39" s="19" t="s">
        <v>35</v>
      </c>
      <c r="I39" s="19" t="s">
        <v>29</v>
      </c>
      <c r="J39" s="19" t="s">
        <v>29</v>
      </c>
      <c r="K39" s="20" t="s">
        <v>83</v>
      </c>
      <c r="L39" s="20" t="s">
        <v>35</v>
      </c>
      <c r="M39" s="20" t="s">
        <v>345</v>
      </c>
      <c r="N39" s="20" t="s">
        <v>410</v>
      </c>
      <c r="O39" s="20" t="s">
        <v>411</v>
      </c>
      <c r="P39" s="20" t="s">
        <v>35</v>
      </c>
      <c r="Q39" s="21" t="s">
        <v>478</v>
      </c>
    </row>
    <row r="40" spans="1:17" x14ac:dyDescent="0.3">
      <c r="A40" s="8" t="s">
        <v>425</v>
      </c>
      <c r="B40" s="6">
        <v>14</v>
      </c>
      <c r="C40" s="31" t="s">
        <v>64</v>
      </c>
      <c r="D40" s="56" t="s">
        <v>441</v>
      </c>
      <c r="E40" s="17" t="s">
        <v>409</v>
      </c>
      <c r="F40" s="18" t="s">
        <v>413</v>
      </c>
      <c r="G40" s="18" t="s">
        <v>35</v>
      </c>
      <c r="H40" s="19" t="s">
        <v>35</v>
      </c>
      <c r="I40" s="19" t="s">
        <v>29</v>
      </c>
      <c r="J40" s="19" t="s">
        <v>29</v>
      </c>
      <c r="K40" s="20" t="s">
        <v>83</v>
      </c>
      <c r="L40" s="20" t="s">
        <v>35</v>
      </c>
      <c r="M40" s="20" t="s">
        <v>345</v>
      </c>
      <c r="N40" s="20" t="s">
        <v>410</v>
      </c>
      <c r="O40" s="20" t="s">
        <v>411</v>
      </c>
      <c r="P40" s="20" t="s">
        <v>35</v>
      </c>
      <c r="Q40" s="21" t="s">
        <v>442</v>
      </c>
    </row>
    <row r="41" spans="1:17" ht="28.8" x14ac:dyDescent="0.3">
      <c r="A41" s="8" t="s">
        <v>425</v>
      </c>
      <c r="B41" s="6">
        <v>15</v>
      </c>
      <c r="C41" s="31" t="s">
        <v>472</v>
      </c>
      <c r="D41" s="56" t="s">
        <v>483</v>
      </c>
      <c r="E41" s="17" t="s">
        <v>409</v>
      </c>
      <c r="F41" s="18" t="s">
        <v>476</v>
      </c>
      <c r="G41" s="18" t="s">
        <v>35</v>
      </c>
      <c r="H41" s="19" t="s">
        <v>35</v>
      </c>
      <c r="I41" s="19" t="s">
        <v>29</v>
      </c>
      <c r="J41" s="19" t="s">
        <v>29</v>
      </c>
      <c r="K41" s="20" t="s">
        <v>83</v>
      </c>
      <c r="L41" s="20" t="s">
        <v>35</v>
      </c>
      <c r="M41" s="20" t="s">
        <v>345</v>
      </c>
      <c r="N41" s="20" t="s">
        <v>410</v>
      </c>
      <c r="O41" s="20" t="s">
        <v>411</v>
      </c>
      <c r="P41" s="20" t="s">
        <v>35</v>
      </c>
      <c r="Q41" s="21" t="s">
        <v>484</v>
      </c>
    </row>
    <row r="42" spans="1:17" x14ac:dyDescent="0.3">
      <c r="A42" s="8" t="s">
        <v>425</v>
      </c>
      <c r="B42" s="6">
        <v>16</v>
      </c>
      <c r="C42" s="31" t="s">
        <v>473</v>
      </c>
      <c r="D42" s="56" t="s">
        <v>485</v>
      </c>
      <c r="E42" s="17" t="s">
        <v>409</v>
      </c>
      <c r="F42" s="18" t="s">
        <v>413</v>
      </c>
      <c r="G42" s="18" t="s">
        <v>35</v>
      </c>
      <c r="H42" s="19" t="s">
        <v>35</v>
      </c>
      <c r="I42" s="19" t="s">
        <v>29</v>
      </c>
      <c r="J42" s="19" t="s">
        <v>29</v>
      </c>
      <c r="K42" s="20" t="s">
        <v>83</v>
      </c>
      <c r="L42" s="20" t="s">
        <v>35</v>
      </c>
      <c r="M42" s="20" t="s">
        <v>345</v>
      </c>
      <c r="N42" s="20" t="s">
        <v>410</v>
      </c>
      <c r="O42" s="20" t="s">
        <v>411</v>
      </c>
      <c r="P42" s="20" t="s">
        <v>35</v>
      </c>
      <c r="Q42" s="21" t="s">
        <v>486</v>
      </c>
    </row>
    <row r="43" spans="1:17" x14ac:dyDescent="0.3">
      <c r="A43" s="8" t="s">
        <v>425</v>
      </c>
      <c r="B43" s="6">
        <v>17</v>
      </c>
      <c r="C43" s="31" t="s">
        <v>65</v>
      </c>
      <c r="D43" s="56" t="s">
        <v>443</v>
      </c>
      <c r="E43" s="17" t="s">
        <v>409</v>
      </c>
      <c r="F43" s="18" t="s">
        <v>481</v>
      </c>
      <c r="G43" s="18" t="s">
        <v>35</v>
      </c>
      <c r="H43" s="19" t="s">
        <v>35</v>
      </c>
      <c r="I43" s="19" t="s">
        <v>29</v>
      </c>
      <c r="J43" s="19" t="s">
        <v>29</v>
      </c>
      <c r="K43" s="20" t="s">
        <v>83</v>
      </c>
      <c r="L43" s="20" t="s">
        <v>35</v>
      </c>
      <c r="M43" s="20" t="s">
        <v>345</v>
      </c>
      <c r="N43" s="20" t="s">
        <v>410</v>
      </c>
      <c r="O43" s="20" t="s">
        <v>411</v>
      </c>
      <c r="P43" s="20" t="s">
        <v>35</v>
      </c>
      <c r="Q43" s="21" t="s">
        <v>445</v>
      </c>
    </row>
    <row r="44" spans="1:17" ht="28.8" x14ac:dyDescent="0.3">
      <c r="A44" s="8" t="s">
        <v>425</v>
      </c>
      <c r="B44" s="6">
        <v>18</v>
      </c>
      <c r="C44" s="31" t="s">
        <v>474</v>
      </c>
      <c r="D44" s="56" t="s">
        <v>487</v>
      </c>
      <c r="E44" s="17" t="s">
        <v>409</v>
      </c>
      <c r="F44" s="18" t="s">
        <v>556</v>
      </c>
      <c r="G44" s="18" t="s">
        <v>35</v>
      </c>
      <c r="H44" s="19" t="s">
        <v>35</v>
      </c>
      <c r="I44" s="19" t="s">
        <v>29</v>
      </c>
      <c r="J44" s="19" t="s">
        <v>29</v>
      </c>
      <c r="K44" s="20" t="s">
        <v>83</v>
      </c>
      <c r="L44" s="20" t="s">
        <v>35</v>
      </c>
      <c r="M44" s="20" t="s">
        <v>345</v>
      </c>
      <c r="N44" s="20" t="s">
        <v>410</v>
      </c>
      <c r="O44" s="20" t="s">
        <v>411</v>
      </c>
      <c r="P44" s="20" t="s">
        <v>35</v>
      </c>
      <c r="Q44" s="21" t="s">
        <v>545</v>
      </c>
    </row>
    <row r="45" spans="1:17" x14ac:dyDescent="0.3">
      <c r="A45" s="8" t="s">
        <v>425</v>
      </c>
      <c r="B45" s="6">
        <v>19</v>
      </c>
      <c r="C45" s="31" t="s">
        <v>475</v>
      </c>
      <c r="D45" s="56" t="s">
        <v>488</v>
      </c>
      <c r="E45" s="17" t="s">
        <v>409</v>
      </c>
      <c r="F45" s="18" t="s">
        <v>481</v>
      </c>
      <c r="G45" s="18" t="s">
        <v>35</v>
      </c>
      <c r="H45" s="19" t="s">
        <v>35</v>
      </c>
      <c r="I45" s="19" t="s">
        <v>29</v>
      </c>
      <c r="J45" s="19" t="s">
        <v>29</v>
      </c>
      <c r="K45" s="20" t="s">
        <v>83</v>
      </c>
      <c r="L45" s="20" t="s">
        <v>35</v>
      </c>
      <c r="M45" s="20" t="s">
        <v>345</v>
      </c>
      <c r="N45" s="20" t="s">
        <v>410</v>
      </c>
      <c r="O45" s="20" t="s">
        <v>411</v>
      </c>
      <c r="P45" s="20" t="s">
        <v>35</v>
      </c>
      <c r="Q45" s="21" t="s">
        <v>489</v>
      </c>
    </row>
    <row r="46" spans="1:17" ht="28.8" x14ac:dyDescent="0.3">
      <c r="A46" s="8" t="s">
        <v>425</v>
      </c>
      <c r="B46" s="6">
        <v>20</v>
      </c>
      <c r="C46" s="31" t="s">
        <v>66</v>
      </c>
      <c r="D46" s="56" t="s">
        <v>446</v>
      </c>
      <c r="E46" s="17" t="s">
        <v>343</v>
      </c>
      <c r="F46" s="18" t="s">
        <v>482</v>
      </c>
      <c r="G46" s="18" t="s">
        <v>35</v>
      </c>
      <c r="H46" s="19" t="s">
        <v>35</v>
      </c>
      <c r="I46" s="19" t="s">
        <v>35</v>
      </c>
      <c r="J46" s="19" t="s">
        <v>29</v>
      </c>
      <c r="K46" s="20" t="s">
        <v>83</v>
      </c>
      <c r="L46" s="20" t="s">
        <v>35</v>
      </c>
      <c r="M46" s="20" t="s">
        <v>354</v>
      </c>
      <c r="N46" s="20" t="s">
        <v>346</v>
      </c>
      <c r="O46" s="20" t="s">
        <v>346</v>
      </c>
      <c r="P46" s="20" t="s">
        <v>35</v>
      </c>
      <c r="Q46" s="21" t="s">
        <v>447</v>
      </c>
    </row>
    <row r="47" spans="1:17" ht="28.8" x14ac:dyDescent="0.3">
      <c r="A47" s="8" t="s">
        <v>425</v>
      </c>
      <c r="B47" s="6">
        <v>21</v>
      </c>
      <c r="C47" s="24" t="s">
        <v>67</v>
      </c>
      <c r="D47" s="56" t="s">
        <v>448</v>
      </c>
      <c r="E47" s="17" t="s">
        <v>351</v>
      </c>
      <c r="F47" s="22" t="s">
        <v>375</v>
      </c>
      <c r="G47" s="18" t="s">
        <v>35</v>
      </c>
      <c r="H47" s="19" t="s">
        <v>35</v>
      </c>
      <c r="I47" s="19" t="s">
        <v>35</v>
      </c>
      <c r="J47" s="19" t="s">
        <v>35</v>
      </c>
      <c r="K47" s="20" t="s">
        <v>83</v>
      </c>
      <c r="L47" s="20" t="s">
        <v>29</v>
      </c>
      <c r="M47" s="20" t="s">
        <v>354</v>
      </c>
      <c r="N47" s="20" t="s">
        <v>346</v>
      </c>
      <c r="O47" s="20" t="s">
        <v>346</v>
      </c>
      <c r="P47" s="20" t="s">
        <v>35</v>
      </c>
      <c r="Q47" s="21" t="s">
        <v>449</v>
      </c>
    </row>
    <row r="48" spans="1:17" ht="28.8" x14ac:dyDescent="0.3">
      <c r="A48" s="8" t="s">
        <v>425</v>
      </c>
      <c r="B48" s="6">
        <v>22</v>
      </c>
      <c r="C48" s="31" t="s">
        <v>68</v>
      </c>
      <c r="D48" s="56" t="s">
        <v>450</v>
      </c>
      <c r="E48" s="17" t="s">
        <v>351</v>
      </c>
      <c r="F48" s="22" t="s">
        <v>375</v>
      </c>
      <c r="G48" s="18" t="s">
        <v>35</v>
      </c>
      <c r="H48" s="19" t="s">
        <v>35</v>
      </c>
      <c r="I48" s="19" t="s">
        <v>35</v>
      </c>
      <c r="J48" s="19" t="s">
        <v>35</v>
      </c>
      <c r="K48" s="20" t="s">
        <v>83</v>
      </c>
      <c r="L48" s="20" t="s">
        <v>29</v>
      </c>
      <c r="M48" s="20" t="s">
        <v>354</v>
      </c>
      <c r="N48" s="20" t="s">
        <v>346</v>
      </c>
      <c r="O48" s="20" t="s">
        <v>346</v>
      </c>
      <c r="P48" s="20" t="s">
        <v>35</v>
      </c>
      <c r="Q48" s="21" t="s">
        <v>451</v>
      </c>
    </row>
    <row r="49" spans="1:17" ht="43.2" x14ac:dyDescent="0.3">
      <c r="A49" s="8" t="s">
        <v>425</v>
      </c>
      <c r="B49" s="6">
        <v>23</v>
      </c>
      <c r="C49" s="31" t="s">
        <v>69</v>
      </c>
      <c r="D49" s="56" t="s">
        <v>452</v>
      </c>
      <c r="E49" s="17" t="s">
        <v>351</v>
      </c>
      <c r="F49" s="18" t="s">
        <v>453</v>
      </c>
      <c r="G49" s="18" t="s">
        <v>35</v>
      </c>
      <c r="H49" s="19" t="s">
        <v>29</v>
      </c>
      <c r="I49" s="19" t="s">
        <v>35</v>
      </c>
      <c r="J49" s="19" t="s">
        <v>35</v>
      </c>
      <c r="K49" s="20" t="s">
        <v>83</v>
      </c>
      <c r="L49" s="20" t="s">
        <v>35</v>
      </c>
      <c r="M49" s="20"/>
      <c r="N49" s="20"/>
      <c r="O49" s="20"/>
      <c r="P49" s="20" t="s">
        <v>29</v>
      </c>
      <c r="Q49" s="21" t="s">
        <v>555</v>
      </c>
    </row>
  </sheetData>
  <phoneticPr fontId="19" type="noConversion"/>
  <conditionalFormatting sqref="G2:G49">
    <cfRule type="expression" dxfId="48" priority="5">
      <formula>IF($G2="true",1,0)</formula>
    </cfRule>
  </conditionalFormatting>
  <conditionalFormatting sqref="H2:H49">
    <cfRule type="expression" dxfId="47" priority="7">
      <formula>IF($H2="true",1,0)</formula>
    </cfRule>
  </conditionalFormatting>
  <conditionalFormatting sqref="I2:I49">
    <cfRule type="cellIs" dxfId="46" priority="2" operator="equal">
      <formula>"true"</formula>
    </cfRule>
  </conditionalFormatting>
  <conditionalFormatting sqref="J2:J49">
    <cfRule type="expression" dxfId="45" priority="6">
      <formula>IF($J2="true",1,0)</formula>
    </cfRule>
  </conditionalFormatting>
  <conditionalFormatting sqref="K2:K49">
    <cfRule type="expression" dxfId="44" priority="4">
      <formula>IF($K2&lt;&gt;"none",1,0)</formula>
    </cfRule>
  </conditionalFormatting>
  <conditionalFormatting sqref="L2:L49">
    <cfRule type="expression" dxfId="43" priority="3">
      <formula>IF($L2="true",1,0)</formula>
    </cfRule>
  </conditionalFormatting>
  <dataValidations count="6">
    <dataValidation type="list" showInputMessage="1" showErrorMessage="1" sqref="O11 N2:N49" xr:uid="{D390489B-D2EC-4169-BF55-4C0809B0690B}">
      <formula1>"up,center,down,"</formula1>
    </dataValidation>
    <dataValidation type="list" allowBlank="1" showInputMessage="1" showErrorMessage="1" sqref="O2:O10 O12:O49" xr:uid="{B4E8464F-798E-4996-B186-9C5B74FDE85A}">
      <formula1>"left,center,right,"</formula1>
    </dataValidation>
    <dataValidation type="list" showInputMessage="1" showErrorMessage="1" sqref="E2:E49" xr:uid="{92C8B38C-AE75-485D-BA39-38E679C69393}">
      <formula1>"text,int,float,bool,"</formula1>
    </dataValidation>
    <dataValidation type="list" showInputMessage="1" showErrorMessage="1" sqref="G2:J49 L2:L49" xr:uid="{DBEE043F-7460-4994-BFBF-9ADEB36E8C6E}">
      <formula1>"false,true,"</formula1>
    </dataValidation>
    <dataValidation type="list" allowBlank="1" showInputMessage="1" showErrorMessage="1" sqref="P2:P49" xr:uid="{70C4688D-8356-4AE9-8CF4-88699F7CA265}">
      <formula1>"false,true,"</formula1>
    </dataValidation>
    <dataValidation type="list" showInputMessage="1" showErrorMessage="1" sqref="M2:M49"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H3"/>
  <sheetViews>
    <sheetView zoomScaleNormal="100" workbookViewId="0">
      <pane ySplit="1" topLeftCell="A3" activePane="bottomLeft" state="frozen"/>
      <selection pane="bottomLeft" activeCell="C8" sqref="C8"/>
    </sheetView>
  </sheetViews>
  <sheetFormatPr defaultRowHeight="14.4" x14ac:dyDescent="0.3"/>
  <cols>
    <col min="1" max="1" width="10.44140625" customWidth="1"/>
    <col min="2" max="2" width="36.5546875" style="2" customWidth="1"/>
    <col min="3" max="3" width="88.109375" customWidth="1"/>
    <col min="4" max="4" width="59.5546875" customWidth="1"/>
  </cols>
  <sheetData>
    <row r="1" spans="1:8" x14ac:dyDescent="0.3">
      <c r="A1" s="1" t="s">
        <v>0</v>
      </c>
      <c r="B1" s="1" t="s">
        <v>454</v>
      </c>
      <c r="C1" s="3" t="s">
        <v>455</v>
      </c>
      <c r="D1" s="4" t="s">
        <v>340</v>
      </c>
    </row>
    <row r="2" spans="1:8" ht="144" x14ac:dyDescent="0.3">
      <c r="A2" s="29">
        <v>1</v>
      </c>
      <c r="B2" s="41" t="s">
        <v>456</v>
      </c>
      <c r="C2" s="30" t="s">
        <v>457</v>
      </c>
      <c r="D2" s="32" t="s">
        <v>458</v>
      </c>
    </row>
    <row r="3" spans="1:8" ht="409.6" x14ac:dyDescent="0.3">
      <c r="A3" s="29">
        <v>2</v>
      </c>
      <c r="B3" s="41" t="s">
        <v>547</v>
      </c>
      <c r="C3" s="30" t="s">
        <v>553</v>
      </c>
      <c r="D3" s="32" t="s">
        <v>546</v>
      </c>
      <c r="H3" t="s">
        <v>554</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rev.05 v03
Версия ETL процессора: rev.05 v03</_x041f__x0440__x0438__x043c__x0435__x0447__x0430__x043d__x0438__x044f_>
    <TaxCatchAll xmlns="00626a45-2e8b-44e2-b2b6-fb30aea60018" xsi:nil="true"/>
  </documentManagement>
</p:properties>
</file>

<file path=customXml/item16.xml>��
</file>

<file path=customXml/item17.xml>��
</file>

<file path=customXml/item18.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21.xml>��
</file>

<file path=customXml/item22.xml>��
</file>

<file path=customXml/item23.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4.xml>��
</file>

<file path=customXml/item25.xml>��
</file>

<file path=customXml/itemProps1.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2.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3.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4.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5.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6.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7.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8.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9.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10.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11.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12.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13.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14.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15.xml><?xml version="1.0" encoding="utf-8"?>
<ds:datastoreItem xmlns:ds="http://schemas.openxmlformats.org/officeDocument/2006/customXml" ds:itemID="{4F428D2F-958C-4F90-BAE5-DE993D97C453}">
  <ds:schemaRefs>
    <ds:schemaRef ds:uri="http://schemas.microsoft.com/office/infopath/2007/PartnerControls"/>
    <ds:schemaRef ds:uri="http://www.w3.org/XML/1998/namespace"/>
    <ds:schemaRef ds:uri="http://schemas.microsoft.com/office/2006/metadata/properties"/>
    <ds:schemaRef ds:uri="9d226c47-cd18-4964-9161-6ccb92249125"/>
    <ds:schemaRef ds:uri="http://schemas.openxmlformats.org/package/2006/metadata/core-properties"/>
    <ds:schemaRef ds:uri="http://schemas.microsoft.com/office/2006/documentManagement/types"/>
    <ds:schemaRef ds:uri="http://purl.org/dc/dcmitype/"/>
    <ds:schemaRef ds:uri="http://purl.org/dc/elements/1.1/"/>
    <ds:schemaRef ds:uri="http://purl.org/dc/terms/"/>
    <ds:schemaRef ds:uri="00626a45-2e8b-44e2-b2b6-fb30aea60018"/>
  </ds:schemaRefs>
</ds:datastoreItem>
</file>

<file path=customXml/itemProps16.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17.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18.xml><?xml version="1.0" encoding="utf-8"?>
<ds:datastoreItem xmlns:ds="http://schemas.openxmlformats.org/officeDocument/2006/customXml" ds:itemID="{CE1858E8-BA2D-4875-9272-28444F7693F6}">
  <ds:schemaRefs>
    <ds:schemaRef ds:uri="http://gemini/pivotcustomization/Diagrams"/>
  </ds:schemaRefs>
</ds:datastoreItem>
</file>

<file path=customXml/itemProps19.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20.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21.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22.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23.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4.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25.xml><?xml version="1.0" encoding="utf-8"?>
<ds:datastoreItem xmlns:ds="http://schemas.openxmlformats.org/officeDocument/2006/customXml" ds:itemID="{AAA16094-6EFC-4DAB-BA70-5996474E7C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SpecificationWork_1</vt:lpstr>
      <vt:lpstr>SpecificationWork_2</vt:lpstr>
      <vt:lpstr>SpecificationWork</vt:lpstr>
      <vt:lpstr>Pivot</vt:lpstr>
      <vt:lpstr>HandbookProject</vt:lpstr>
      <vt:lpstr>HandbookBrand</vt:lpstr>
      <vt:lpstr>HandbookSupplier</vt:lpstr>
      <vt:lpstr>HandbookUnit</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2026-10-19T17:11:48Z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